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T\Desktop\"/>
    </mc:Choice>
  </mc:AlternateContent>
  <bookViews>
    <workbookView xWindow="0" yWindow="90" windowWidth="19200" windowHeight="11520" tabRatio="669"/>
  </bookViews>
  <sheets>
    <sheet name="P1" sheetId="26" r:id="rId1"/>
    <sheet name="P2" sheetId="20" r:id="rId2"/>
    <sheet name="P3" sheetId="75" r:id="rId3"/>
    <sheet name="其他" sheetId="71" r:id="rId4"/>
    <sheet name="销售数据" sheetId="69" r:id="rId5"/>
    <sheet name="Sheet2" sheetId="73" state="hidden" r:id="rId6"/>
    <sheet name="Sheet3" sheetId="74" state="hidden" r:id="rId7"/>
  </sheets>
  <definedNames>
    <definedName name="_xlnm._FilterDatabase" localSheetId="1" hidden="1">'P2'!$A$1:$K$572</definedName>
    <definedName name="_xlnm._FilterDatabase" localSheetId="2" hidden="1">'P3'!$A$2:$M$531</definedName>
    <definedName name="_xlnm._FilterDatabase" localSheetId="4" hidden="1">销售数据!$A$1:$K$473</definedName>
    <definedName name="a">#REF!</definedName>
    <definedName name="bu">#REF!</definedName>
    <definedName name="_xlnm.Print_Area" localSheetId="0">'P1'!$A$1:$I$51</definedName>
    <definedName name="_xlnm.Print_Titles" localSheetId="2">'P3'!$2:$2</definedName>
    <definedName name="朝阳大悦城日报20150626">#REF!</definedName>
    <definedName name="销售汇总_交易笔数" localSheetId="2">#REF!</definedName>
    <definedName name="销售汇总_交易笔数">#REF!</definedName>
    <definedName name="销售汇总_交易额" localSheetId="2">#REF!</definedName>
    <definedName name="销售汇总_交易额">#REF!</definedName>
    <definedName name="销售汇总_面积" localSheetId="2">#REF!</definedName>
    <definedName name="销售汇总_面积">#REF!</definedName>
  </definedNames>
  <calcPr calcId="152511"/>
</workbook>
</file>

<file path=xl/calcChain.xml><?xml version="1.0" encoding="utf-8"?>
<calcChain xmlns="http://schemas.openxmlformats.org/spreadsheetml/2006/main">
  <c r="E12" i="26" l="1"/>
  <c r="L271" i="75" l="1"/>
  <c r="I271" i="75"/>
  <c r="H400" i="20"/>
  <c r="I400" i="20"/>
  <c r="J400" i="20"/>
  <c r="I267" i="75" l="1"/>
  <c r="L267" i="75"/>
  <c r="H396" i="20"/>
  <c r="I396" i="20"/>
  <c r="J396" i="20"/>
  <c r="I256" i="75" l="1"/>
  <c r="L256" i="75"/>
  <c r="H377" i="20"/>
  <c r="I377" i="20"/>
  <c r="J377" i="20"/>
  <c r="I268" i="75" l="1"/>
  <c r="L268" i="75"/>
  <c r="H398" i="20"/>
  <c r="I398" i="20"/>
  <c r="J398" i="20"/>
  <c r="I269" i="75" l="1"/>
  <c r="L269" i="75"/>
  <c r="H395" i="20"/>
  <c r="I395" i="20"/>
  <c r="J395" i="20"/>
  <c r="L272" i="75" l="1"/>
  <c r="I272" i="75"/>
  <c r="J401" i="20"/>
  <c r="I401" i="20"/>
  <c r="H401" i="20"/>
  <c r="J317" i="20" l="1"/>
  <c r="I317" i="20"/>
  <c r="H317" i="20"/>
  <c r="L191" i="75"/>
  <c r="I191" i="75"/>
  <c r="L41" i="75" l="1"/>
  <c r="I41" i="75"/>
  <c r="J165" i="20"/>
  <c r="I165" i="20"/>
  <c r="H165" i="20"/>
  <c r="I264" i="75" l="1"/>
  <c r="L264" i="75"/>
  <c r="H394" i="20"/>
  <c r="I394" i="20"/>
  <c r="J394" i="20"/>
  <c r="I72" i="75" l="1"/>
  <c r="L72" i="75"/>
  <c r="I73" i="75"/>
  <c r="L73" i="75"/>
  <c r="H194" i="20"/>
  <c r="I194" i="20"/>
  <c r="J194" i="20"/>
  <c r="H195" i="20"/>
  <c r="I195" i="20"/>
  <c r="J195" i="20"/>
  <c r="J215" i="20" l="1"/>
  <c r="I215" i="20"/>
  <c r="H215" i="20"/>
  <c r="L86" i="75"/>
  <c r="I86" i="75"/>
  <c r="L100" i="75" l="1"/>
  <c r="I100" i="75"/>
  <c r="J228" i="20"/>
  <c r="I228" i="20"/>
  <c r="H228" i="20"/>
  <c r="J520" i="20" l="1"/>
  <c r="I520" i="20"/>
  <c r="H520" i="20"/>
  <c r="L366" i="75"/>
  <c r="I366" i="75"/>
  <c r="L83" i="75" l="1"/>
  <c r="I83" i="75"/>
  <c r="J213" i="20"/>
  <c r="I213" i="20"/>
  <c r="H213" i="20"/>
  <c r="I270" i="75" l="1"/>
  <c r="L270" i="75"/>
  <c r="H399" i="20"/>
  <c r="I399" i="20"/>
  <c r="J399" i="20"/>
  <c r="J379" i="20" l="1"/>
  <c r="I379" i="20"/>
  <c r="H379" i="20"/>
  <c r="J397" i="20"/>
  <c r="I397" i="20"/>
  <c r="H397" i="20"/>
  <c r="L248" i="75"/>
  <c r="I248" i="75"/>
  <c r="L266" i="75"/>
  <c r="I266" i="75"/>
  <c r="L74" i="75" l="1"/>
  <c r="I74" i="75"/>
  <c r="J203" i="20"/>
  <c r="I203" i="20"/>
  <c r="H203" i="20"/>
  <c r="L254" i="75"/>
  <c r="I254" i="75"/>
  <c r="J385" i="20"/>
  <c r="I385" i="20"/>
  <c r="H385" i="20"/>
  <c r="J378" i="20" l="1"/>
  <c r="I378" i="20"/>
  <c r="H378" i="20"/>
  <c r="L247" i="75"/>
  <c r="I247" i="75"/>
  <c r="J121" i="20" l="1"/>
  <c r="I121" i="20"/>
  <c r="H121" i="20"/>
  <c r="L509" i="75"/>
  <c r="I509" i="75"/>
  <c r="J413" i="20" l="1"/>
  <c r="I413" i="20"/>
  <c r="H413" i="20"/>
  <c r="L283" i="75"/>
  <c r="I283" i="75"/>
  <c r="D17" i="26" l="1"/>
  <c r="D16" i="26"/>
  <c r="E17" i="26"/>
  <c r="E16" i="26"/>
  <c r="L265" i="75" l="1"/>
  <c r="I265" i="75"/>
  <c r="J393" i="20"/>
  <c r="I393" i="20"/>
  <c r="H393" i="20"/>
  <c r="H283" i="20" l="1"/>
  <c r="I283" i="20"/>
  <c r="J283" i="20"/>
  <c r="I154" i="75"/>
  <c r="L154" i="75"/>
  <c r="I160" i="75" l="1"/>
  <c r="L160" i="75"/>
  <c r="I344" i="75"/>
  <c r="L344" i="75"/>
  <c r="H499" i="20"/>
  <c r="I499" i="20"/>
  <c r="J499" i="20"/>
  <c r="H271" i="20"/>
  <c r="I271" i="20"/>
  <c r="J271" i="20"/>
  <c r="L67" i="75" l="1"/>
  <c r="I67" i="75"/>
  <c r="J198" i="20"/>
  <c r="I198" i="20"/>
  <c r="H198" i="20"/>
  <c r="D453" i="20" l="1"/>
  <c r="J316" i="20" l="1"/>
  <c r="I316" i="20"/>
  <c r="H316" i="20"/>
  <c r="L190" i="75"/>
  <c r="I190" i="75"/>
  <c r="J72" i="20"/>
  <c r="I72" i="20"/>
  <c r="H72" i="20"/>
  <c r="L458" i="75"/>
  <c r="I458" i="75"/>
  <c r="L502" i="75" l="1"/>
  <c r="I502" i="75"/>
  <c r="J113" i="20"/>
  <c r="I113" i="20"/>
  <c r="H113" i="20"/>
  <c r="J70" i="20"/>
  <c r="I70" i="20"/>
  <c r="H70" i="20"/>
  <c r="L456" i="75"/>
  <c r="I456" i="75"/>
  <c r="J116" i="20"/>
  <c r="I116" i="20"/>
  <c r="H116" i="20"/>
  <c r="L498" i="75"/>
  <c r="I498" i="75"/>
  <c r="L188" i="75"/>
  <c r="I188" i="75"/>
  <c r="J314" i="20"/>
  <c r="I314" i="20"/>
  <c r="H314" i="20"/>
  <c r="J282" i="20"/>
  <c r="I282" i="20"/>
  <c r="H282" i="20"/>
  <c r="L153" i="75"/>
  <c r="I153" i="75"/>
  <c r="I459" i="75" l="1"/>
  <c r="L459" i="75"/>
  <c r="I128" i="75"/>
  <c r="L128" i="75"/>
  <c r="H133" i="20"/>
  <c r="I133" i="20"/>
  <c r="J133" i="20"/>
  <c r="H260" i="20"/>
  <c r="I260" i="20"/>
  <c r="J260" i="20"/>
  <c r="L517" i="75" l="1"/>
  <c r="I517" i="75"/>
  <c r="J129" i="20"/>
  <c r="I129" i="20"/>
  <c r="H129" i="20"/>
  <c r="I149" i="75" l="1"/>
  <c r="L149" i="75"/>
  <c r="H278" i="20"/>
  <c r="I278" i="20"/>
  <c r="J278" i="20"/>
  <c r="H441" i="20" l="1"/>
  <c r="I441" i="20"/>
  <c r="J441" i="20"/>
  <c r="H280" i="20"/>
  <c r="I280" i="20"/>
  <c r="J280" i="20"/>
  <c r="I150" i="75"/>
  <c r="L150" i="75"/>
  <c r="I328" i="75"/>
  <c r="L328" i="75"/>
  <c r="I148" i="75" l="1"/>
  <c r="L148" i="75"/>
  <c r="I152" i="75"/>
  <c r="L152" i="75"/>
  <c r="H277" i="20"/>
  <c r="I277" i="20"/>
  <c r="J277" i="20"/>
  <c r="H281" i="20"/>
  <c r="I281" i="20"/>
  <c r="J281" i="20"/>
  <c r="I304" i="75" l="1"/>
  <c r="L304" i="75"/>
  <c r="H422" i="20"/>
  <c r="I422" i="20"/>
  <c r="J422" i="20"/>
  <c r="L13" i="75" l="1"/>
  <c r="I13" i="75"/>
  <c r="L12" i="75"/>
  <c r="I12" i="75"/>
  <c r="J146" i="20"/>
  <c r="I146" i="20"/>
  <c r="H146" i="20"/>
  <c r="L132" i="75"/>
  <c r="I132" i="75"/>
  <c r="J259" i="20"/>
  <c r="I259" i="20"/>
  <c r="H259" i="20"/>
  <c r="L189" i="75" l="1"/>
  <c r="I189" i="75"/>
  <c r="J315" i="20"/>
  <c r="I315" i="20"/>
  <c r="H315" i="20"/>
  <c r="J275" i="20"/>
  <c r="I275" i="20"/>
  <c r="H275" i="20"/>
  <c r="L129" i="75"/>
  <c r="I129" i="75"/>
  <c r="J227" i="20" l="1"/>
  <c r="I227" i="20"/>
  <c r="H227" i="20"/>
  <c r="J498" i="20"/>
  <c r="I498" i="20"/>
  <c r="H498" i="20"/>
  <c r="L345" i="75"/>
  <c r="I345" i="75"/>
  <c r="J414" i="20" l="1"/>
  <c r="I414" i="20"/>
  <c r="H414" i="20"/>
  <c r="L284" i="75"/>
  <c r="I284" i="75"/>
  <c r="L198" i="75"/>
  <c r="I198" i="75"/>
  <c r="J327" i="20"/>
  <c r="I327" i="20"/>
  <c r="H327" i="20"/>
  <c r="J376" i="20"/>
  <c r="I376" i="20"/>
  <c r="H376" i="20"/>
  <c r="L246" i="75"/>
  <c r="I246" i="75"/>
  <c r="J144" i="20" l="1"/>
  <c r="I144" i="20"/>
  <c r="H144" i="20"/>
  <c r="L273" i="75"/>
  <c r="I273" i="75"/>
  <c r="J402" i="20"/>
  <c r="I402" i="20"/>
  <c r="H402" i="20"/>
  <c r="L101" i="75" l="1"/>
  <c r="I101" i="75"/>
  <c r="J229" i="20"/>
  <c r="I229" i="20"/>
  <c r="H229" i="20"/>
  <c r="J222" i="20"/>
  <c r="I222" i="20"/>
  <c r="H222" i="20"/>
  <c r="L94" i="75"/>
  <c r="I94" i="75"/>
  <c r="L417" i="75"/>
  <c r="I417" i="75"/>
  <c r="J566" i="20"/>
  <c r="I566" i="20"/>
  <c r="H566" i="20"/>
  <c r="J384" i="20"/>
  <c r="I384" i="20"/>
  <c r="H384" i="20"/>
  <c r="L253" i="75"/>
  <c r="I253" i="75"/>
  <c r="L220" i="75"/>
  <c r="I220" i="75"/>
  <c r="J336" i="20"/>
  <c r="I336" i="20"/>
  <c r="H336" i="20"/>
  <c r="I477" i="75" l="1"/>
  <c r="L477" i="75"/>
  <c r="C49" i="71"/>
  <c r="I222" i="75" l="1"/>
  <c r="L222" i="75"/>
  <c r="H339" i="20"/>
  <c r="I339" i="20"/>
  <c r="J339" i="20"/>
  <c r="L223" i="75" l="1"/>
  <c r="I223" i="75"/>
  <c r="J358" i="20"/>
  <c r="I358" i="20"/>
  <c r="H358" i="20"/>
  <c r="I130" i="75" l="1"/>
  <c r="L130" i="75"/>
  <c r="I131" i="75"/>
  <c r="L131" i="75"/>
  <c r="H298" i="20"/>
  <c r="I298" i="20"/>
  <c r="J298" i="20"/>
  <c r="I375" i="75" l="1"/>
  <c r="L375" i="75"/>
  <c r="I305" i="75"/>
  <c r="L305" i="75"/>
  <c r="I221" i="75"/>
  <c r="L221" i="75"/>
  <c r="H528" i="20"/>
  <c r="I528" i="20"/>
  <c r="J528" i="20"/>
  <c r="H433" i="20"/>
  <c r="I433" i="20"/>
  <c r="J433" i="20"/>
  <c r="H356" i="20"/>
  <c r="I356" i="20"/>
  <c r="J356" i="20"/>
  <c r="D12" i="26" l="1"/>
  <c r="L430" i="75" l="1"/>
  <c r="I430" i="75"/>
  <c r="L429" i="75"/>
  <c r="I429" i="75"/>
  <c r="L343" i="75"/>
  <c r="I343" i="75"/>
  <c r="H579" i="20" l="1"/>
  <c r="I579" i="20"/>
  <c r="J579" i="20"/>
  <c r="I453" i="75" l="1"/>
  <c r="L453" i="75"/>
  <c r="H99" i="20"/>
  <c r="I99" i="20"/>
  <c r="J99" i="20"/>
  <c r="I499" i="75" l="1"/>
  <c r="L499" i="75"/>
  <c r="I245" i="75"/>
  <c r="L245" i="75"/>
  <c r="H117" i="20"/>
  <c r="I117" i="20"/>
  <c r="J117" i="20"/>
  <c r="H375" i="20"/>
  <c r="I375" i="20"/>
  <c r="J375" i="20"/>
  <c r="I217" i="75" l="1"/>
  <c r="L217" i="75"/>
  <c r="H349" i="20"/>
  <c r="I349" i="20"/>
  <c r="J349" i="20"/>
  <c r="I460" i="75" l="1"/>
  <c r="L460" i="75"/>
  <c r="H61" i="20"/>
  <c r="I61" i="20"/>
  <c r="J61" i="20"/>
  <c r="J313" i="20" l="1"/>
  <c r="I313" i="20"/>
  <c r="H313" i="20"/>
  <c r="L187" i="75"/>
  <c r="I187" i="75"/>
  <c r="E59" i="71" l="1"/>
  <c r="E60" i="71"/>
  <c r="E61" i="71"/>
  <c r="E62" i="71"/>
  <c r="E63" i="71"/>
  <c r="E64" i="71"/>
  <c r="E65" i="71"/>
  <c r="E66" i="71"/>
  <c r="F45" i="20"/>
  <c r="H45" i="20"/>
  <c r="I45" i="20"/>
  <c r="J45" i="20"/>
  <c r="D60" i="71"/>
  <c r="D61" i="71"/>
  <c r="C66" i="71"/>
  <c r="C60" i="71"/>
  <c r="C65" i="71"/>
  <c r="D63" i="71"/>
  <c r="D62" i="71"/>
  <c r="C59" i="71"/>
  <c r="C63" i="71"/>
  <c r="D65" i="71"/>
  <c r="D64" i="71"/>
  <c r="C64" i="71"/>
  <c r="C62" i="71"/>
  <c r="D66" i="71"/>
  <c r="D59" i="71"/>
  <c r="C61" i="71"/>
  <c r="D10" i="26" l="1"/>
  <c r="D11" i="26"/>
  <c r="D9" i="26"/>
  <c r="I230" i="75" l="1"/>
  <c r="L230" i="75"/>
  <c r="I163" i="75"/>
  <c r="L163" i="75"/>
  <c r="I103" i="75"/>
  <c r="L103" i="75"/>
  <c r="I522" i="75"/>
  <c r="L522" i="75"/>
  <c r="H359" i="20"/>
  <c r="I359" i="20"/>
  <c r="J359" i="20"/>
  <c r="H290" i="20"/>
  <c r="I290" i="20"/>
  <c r="J290" i="20"/>
  <c r="H231" i="20"/>
  <c r="I231" i="20"/>
  <c r="J231" i="20"/>
  <c r="H137" i="20"/>
  <c r="I137" i="20"/>
  <c r="J137" i="20"/>
  <c r="I416" i="75" l="1"/>
  <c r="L416" i="75"/>
  <c r="H565" i="20"/>
  <c r="I565" i="20"/>
  <c r="J565" i="20"/>
  <c r="I520" i="75" l="1"/>
  <c r="L520" i="75"/>
  <c r="I208" i="75"/>
  <c r="L208" i="75"/>
  <c r="H341" i="20"/>
  <c r="I341" i="20"/>
  <c r="J341" i="20"/>
  <c r="H132" i="20"/>
  <c r="I132" i="20"/>
  <c r="J132" i="20"/>
  <c r="I32" i="75" l="1"/>
  <c r="L32" i="75"/>
  <c r="H176" i="20"/>
  <c r="I176" i="20"/>
  <c r="J176" i="20"/>
  <c r="L192" i="75" l="1"/>
  <c r="I192" i="75"/>
  <c r="J312" i="20"/>
  <c r="I312" i="20"/>
  <c r="H312" i="20"/>
  <c r="L297" i="75" l="1"/>
  <c r="I297" i="75"/>
  <c r="L229" i="75"/>
  <c r="I229" i="75"/>
  <c r="J357" i="20"/>
  <c r="I357" i="20"/>
  <c r="H357" i="20"/>
  <c r="J428" i="20"/>
  <c r="I428" i="20"/>
  <c r="H428" i="20"/>
  <c r="I47" i="75" l="1"/>
  <c r="L47" i="75"/>
  <c r="H578" i="20"/>
  <c r="I578" i="20"/>
  <c r="J578" i="20"/>
  <c r="H171" i="20"/>
  <c r="I171" i="20"/>
  <c r="J171" i="20"/>
  <c r="H497" i="20" l="1"/>
  <c r="I497" i="20"/>
  <c r="J497" i="20"/>
  <c r="I57" i="75" l="1"/>
  <c r="L57" i="75"/>
  <c r="I183" i="20"/>
  <c r="J183" i="20"/>
  <c r="H183" i="20"/>
  <c r="L468" i="75" l="1"/>
  <c r="I468" i="75"/>
  <c r="J81" i="20"/>
  <c r="I81" i="20"/>
  <c r="H81" i="20"/>
  <c r="L225" i="75" l="1"/>
  <c r="I225" i="75"/>
  <c r="J361" i="20"/>
  <c r="I361" i="20"/>
  <c r="H361" i="20"/>
  <c r="L258" i="75" l="1"/>
  <c r="I258" i="75"/>
  <c r="L286" i="75"/>
  <c r="I286" i="75"/>
  <c r="J426" i="20"/>
  <c r="I426" i="20"/>
  <c r="H426" i="20"/>
  <c r="J335" i="20"/>
  <c r="I335" i="20"/>
  <c r="H335" i="20"/>
  <c r="J442" i="20" l="1"/>
  <c r="I442" i="20"/>
  <c r="H442" i="20"/>
  <c r="L137" i="75" l="1"/>
  <c r="I137" i="75"/>
  <c r="J264" i="20"/>
  <c r="I264" i="20"/>
  <c r="H264" i="20"/>
  <c r="I291" i="75" l="1"/>
  <c r="L291" i="75"/>
  <c r="I292" i="75"/>
  <c r="L292" i="75"/>
  <c r="I216" i="75"/>
  <c r="L216" i="75"/>
  <c r="I35" i="75"/>
  <c r="L35" i="75"/>
  <c r="H418" i="20"/>
  <c r="I418" i="20"/>
  <c r="J418" i="20"/>
  <c r="H419" i="20"/>
  <c r="I419" i="20"/>
  <c r="J419" i="20"/>
  <c r="H332" i="20"/>
  <c r="I332" i="20"/>
  <c r="J332" i="20"/>
  <c r="H156" i="20"/>
  <c r="I156" i="20"/>
  <c r="J156" i="20"/>
  <c r="G58" i="75" l="1"/>
  <c r="L29" i="75" l="1"/>
  <c r="I29" i="75"/>
  <c r="J160" i="20"/>
  <c r="I160" i="20"/>
  <c r="H160" i="20"/>
  <c r="L330" i="75"/>
  <c r="I330" i="75"/>
  <c r="J443" i="20"/>
  <c r="I443" i="20"/>
  <c r="H443" i="20"/>
  <c r="H136" i="20" l="1"/>
  <c r="I136" i="20"/>
  <c r="J136" i="20"/>
  <c r="J577" i="20"/>
  <c r="I577" i="20"/>
  <c r="H577" i="20"/>
  <c r="I432" i="75"/>
  <c r="L432" i="75"/>
  <c r="I512" i="75"/>
  <c r="L512" i="75"/>
  <c r="J182" i="20" l="1"/>
  <c r="I182" i="20"/>
  <c r="H182" i="20"/>
  <c r="L44" i="75"/>
  <c r="I44" i="75"/>
  <c r="L263" i="75" l="1"/>
  <c r="I263" i="75"/>
  <c r="J392" i="20"/>
  <c r="I392" i="20"/>
  <c r="H392" i="20"/>
  <c r="J329" i="20"/>
  <c r="I329" i="20"/>
  <c r="H329" i="20"/>
  <c r="L200" i="75"/>
  <c r="I200" i="75"/>
  <c r="L232" i="75" l="1"/>
  <c r="I232" i="75"/>
  <c r="J362" i="20"/>
  <c r="I362" i="20"/>
  <c r="H362" i="20"/>
  <c r="J360" i="20"/>
  <c r="J484" i="20" l="1"/>
  <c r="I484" i="20"/>
  <c r="H484" i="20"/>
  <c r="L322" i="75"/>
  <c r="I322" i="75"/>
  <c r="L121" i="75"/>
  <c r="I121" i="75"/>
  <c r="J248" i="20"/>
  <c r="I248" i="20"/>
  <c r="H248" i="20"/>
  <c r="L437" i="75" l="1"/>
  <c r="I437" i="75"/>
  <c r="J580" i="20"/>
  <c r="I580" i="20"/>
  <c r="H580" i="20"/>
  <c r="I493" i="75" l="1"/>
  <c r="L493" i="75"/>
  <c r="H440" i="20"/>
  <c r="I440" i="20"/>
  <c r="J440" i="20"/>
  <c r="H318" i="20"/>
  <c r="I318" i="20"/>
  <c r="J318" i="20"/>
  <c r="H66" i="20"/>
  <c r="I66" i="20"/>
  <c r="J66" i="20"/>
  <c r="F38" i="20"/>
  <c r="L186" i="75" l="1"/>
  <c r="I186" i="75"/>
  <c r="L451" i="75"/>
  <c r="I451" i="75"/>
  <c r="L511" i="75" l="1"/>
  <c r="I511" i="75"/>
  <c r="J124" i="20"/>
  <c r="I124" i="20"/>
  <c r="H124" i="20"/>
  <c r="L78" i="75" l="1"/>
  <c r="I78" i="75"/>
  <c r="J207" i="20"/>
  <c r="I207" i="20"/>
  <c r="H207" i="20"/>
  <c r="L341" i="75" l="1"/>
  <c r="I341" i="75"/>
  <c r="J496" i="20"/>
  <c r="I496" i="20"/>
  <c r="H496" i="20"/>
  <c r="J311" i="20" l="1"/>
  <c r="I311" i="20"/>
  <c r="H311" i="20"/>
  <c r="L185" i="75"/>
  <c r="I185" i="75"/>
  <c r="L471" i="75" l="1"/>
  <c r="I471" i="75"/>
  <c r="J83" i="20"/>
  <c r="I83" i="20"/>
  <c r="H83" i="20"/>
  <c r="J575" i="20" l="1"/>
  <c r="I575" i="20"/>
  <c r="H575" i="20"/>
  <c r="L426" i="75"/>
  <c r="I426" i="75"/>
  <c r="J556" i="20"/>
  <c r="I556" i="20"/>
  <c r="H556" i="20"/>
  <c r="L407" i="75"/>
  <c r="I407" i="75"/>
  <c r="L503" i="75" l="1"/>
  <c r="I503" i="75"/>
  <c r="J114" i="20"/>
  <c r="I114" i="20"/>
  <c r="H114" i="20"/>
  <c r="J95" i="20"/>
  <c r="I95" i="20"/>
  <c r="H95" i="20"/>
  <c r="L483" i="75"/>
  <c r="I483" i="75"/>
  <c r="L374" i="75" l="1"/>
  <c r="I374" i="75"/>
  <c r="J527" i="20"/>
  <c r="I527" i="20"/>
  <c r="H527" i="20"/>
  <c r="J102" i="20" l="1"/>
  <c r="I102" i="20"/>
  <c r="H102" i="20"/>
  <c r="L489" i="75"/>
  <c r="I489" i="75"/>
  <c r="J106" i="20" l="1"/>
  <c r="I106" i="20"/>
  <c r="H106" i="20"/>
  <c r="L425" i="75" l="1"/>
  <c r="I425" i="75"/>
  <c r="J574" i="20"/>
  <c r="I574" i="20"/>
  <c r="H574" i="20"/>
  <c r="J576" i="20" l="1"/>
  <c r="I576" i="20"/>
  <c r="H576" i="20"/>
  <c r="J382" i="20"/>
  <c r="I382" i="20"/>
  <c r="H382" i="20"/>
  <c r="J270" i="20"/>
  <c r="I270" i="20"/>
  <c r="H270" i="20"/>
  <c r="I247" i="20"/>
  <c r="L427" i="75"/>
  <c r="I427" i="75"/>
  <c r="L251" i="75"/>
  <c r="I251" i="75"/>
  <c r="L143" i="75"/>
  <c r="I143" i="75"/>
  <c r="L56" i="75" l="1"/>
  <c r="I56" i="75"/>
  <c r="L494" i="75"/>
  <c r="I494" i="75"/>
  <c r="J107" i="20"/>
  <c r="I107" i="20"/>
  <c r="H107" i="20"/>
  <c r="L350" i="75"/>
  <c r="I350" i="75"/>
  <c r="J504" i="20"/>
  <c r="I504" i="20"/>
  <c r="H504" i="20"/>
  <c r="J543" i="20" l="1"/>
  <c r="I543" i="20"/>
  <c r="H543" i="20"/>
  <c r="L394" i="75"/>
  <c r="I394" i="75"/>
  <c r="L438" i="75" l="1"/>
  <c r="I438" i="75"/>
  <c r="J573" i="20"/>
  <c r="I573" i="20"/>
  <c r="H573" i="20"/>
  <c r="J500" i="20" l="1"/>
  <c r="I500" i="20"/>
  <c r="H500" i="20"/>
  <c r="L346" i="75"/>
  <c r="I346" i="75"/>
  <c r="J355" i="20" l="1"/>
  <c r="I355" i="20"/>
  <c r="H355" i="20"/>
  <c r="L228" i="75"/>
  <c r="I228" i="75"/>
  <c r="J310" i="20" l="1"/>
  <c r="I310" i="20"/>
  <c r="H310" i="20"/>
  <c r="L184" i="75"/>
  <c r="I184" i="75"/>
  <c r="I387" i="75" l="1"/>
  <c r="J539" i="20"/>
  <c r="I539" i="20"/>
  <c r="H539" i="20"/>
  <c r="J521" i="20" l="1"/>
  <c r="I521" i="20"/>
  <c r="H521" i="20"/>
  <c r="L365" i="75"/>
  <c r="I365" i="75"/>
  <c r="L207" i="75" l="1"/>
  <c r="I207" i="75"/>
  <c r="J340" i="20"/>
  <c r="I340" i="20"/>
  <c r="H340" i="20"/>
  <c r="J108" i="20" l="1"/>
  <c r="I108" i="20"/>
  <c r="H108" i="20"/>
  <c r="L495" i="75"/>
  <c r="I495" i="75"/>
  <c r="J154" i="20" l="1"/>
  <c r="I154" i="20"/>
  <c r="I155" i="20"/>
  <c r="H154" i="20"/>
  <c r="J111" i="20"/>
  <c r="J112" i="20"/>
  <c r="I111" i="20"/>
  <c r="H111" i="20"/>
  <c r="L500" i="75"/>
  <c r="I500" i="75"/>
  <c r="L24" i="75"/>
  <c r="I24" i="75"/>
  <c r="L183" i="75" l="1"/>
  <c r="I183" i="75"/>
  <c r="J309" i="20"/>
  <c r="I309" i="20"/>
  <c r="H309" i="20"/>
  <c r="L519" i="75" l="1"/>
  <c r="I519" i="75"/>
  <c r="J131" i="20"/>
  <c r="I131" i="20"/>
  <c r="H131" i="20"/>
  <c r="L448" i="75" l="1"/>
  <c r="I448" i="75"/>
  <c r="J63" i="20"/>
  <c r="I63" i="20"/>
  <c r="H63" i="20"/>
  <c r="L370" i="75" l="1"/>
  <c r="I370" i="75"/>
  <c r="J523" i="20"/>
  <c r="I523" i="20"/>
  <c r="H523" i="20"/>
  <c r="J101" i="20" l="1"/>
  <c r="I101" i="20"/>
  <c r="H101" i="20"/>
  <c r="L488" i="75"/>
  <c r="I488" i="75"/>
  <c r="J308" i="20" l="1"/>
  <c r="I308" i="20"/>
  <c r="H308" i="20"/>
  <c r="L182" i="75"/>
  <c r="I182" i="75"/>
  <c r="J118" i="20" l="1"/>
  <c r="I118" i="20"/>
  <c r="H118" i="20"/>
  <c r="J126" i="20"/>
  <c r="I126" i="20"/>
  <c r="H126" i="20"/>
  <c r="L514" i="75"/>
  <c r="I514" i="75"/>
  <c r="L505" i="75"/>
  <c r="I505" i="75"/>
  <c r="J555" i="20" l="1"/>
  <c r="I555" i="20"/>
  <c r="H555" i="20"/>
  <c r="L406" i="75"/>
  <c r="I406" i="75"/>
  <c r="L261" i="75" l="1"/>
  <c r="I261" i="75"/>
  <c r="J390" i="20"/>
  <c r="I390" i="20"/>
  <c r="H390" i="20"/>
  <c r="J100" i="20" l="1"/>
  <c r="I100" i="20"/>
  <c r="H100" i="20"/>
  <c r="L487" i="75"/>
  <c r="I487" i="75"/>
  <c r="L373" i="75" l="1"/>
  <c r="I373" i="75"/>
  <c r="J526" i="20"/>
  <c r="I526" i="20"/>
  <c r="H526" i="20"/>
  <c r="L415" i="75" l="1"/>
  <c r="I415" i="75"/>
  <c r="J564" i="20"/>
  <c r="I564" i="20"/>
  <c r="H564" i="20"/>
  <c r="L351" i="75" l="1"/>
  <c r="I351" i="75"/>
  <c r="J505" i="20"/>
  <c r="I505" i="20"/>
  <c r="H505" i="20"/>
  <c r="L442" i="75" l="1"/>
  <c r="I442" i="75"/>
  <c r="J56" i="20"/>
  <c r="I56" i="20"/>
  <c r="H56" i="20"/>
  <c r="J338" i="20"/>
  <c r="I338" i="20"/>
  <c r="H338" i="20"/>
  <c r="L206" i="75"/>
  <c r="I206" i="75"/>
  <c r="J181" i="20" l="1"/>
  <c r="I181" i="20"/>
  <c r="H181" i="20"/>
  <c r="L36" i="75"/>
  <c r="I36" i="75"/>
  <c r="J519" i="20" l="1"/>
  <c r="I519" i="20"/>
  <c r="H519" i="20"/>
  <c r="L364" i="75"/>
  <c r="I364" i="75"/>
  <c r="L479" i="75" l="1"/>
  <c r="I479" i="75"/>
  <c r="J91" i="20"/>
  <c r="I91" i="20"/>
  <c r="H91" i="20"/>
  <c r="J84" i="20" l="1"/>
  <c r="I84" i="20"/>
  <c r="H84" i="20"/>
  <c r="L472" i="75"/>
  <c r="I472" i="75"/>
  <c r="L90" i="75" l="1"/>
  <c r="I90" i="75"/>
  <c r="L89" i="75"/>
  <c r="I89" i="75"/>
  <c r="J219" i="20"/>
  <c r="I219" i="20"/>
  <c r="H219" i="20"/>
  <c r="J218" i="20"/>
  <c r="I218" i="20"/>
  <c r="H218" i="20"/>
  <c r="L42" i="75" l="1"/>
  <c r="I42" i="75"/>
  <c r="J166" i="20"/>
  <c r="I166" i="20"/>
  <c r="H166" i="20"/>
  <c r="L20" i="75" l="1"/>
  <c r="I20" i="75"/>
  <c r="J151" i="20"/>
  <c r="I151" i="20"/>
  <c r="H151" i="20"/>
  <c r="L211" i="75" l="1"/>
  <c r="I211" i="75"/>
  <c r="J344" i="20"/>
  <c r="I344" i="20"/>
  <c r="H344" i="20"/>
  <c r="J201" i="20" l="1"/>
  <c r="I201" i="20"/>
  <c r="H201" i="20"/>
  <c r="L70" i="75"/>
  <c r="I70" i="75"/>
  <c r="J381" i="20" l="1"/>
  <c r="I381" i="20"/>
  <c r="H381" i="20"/>
  <c r="L250" i="75"/>
  <c r="I250" i="75"/>
  <c r="L212" i="75" l="1"/>
  <c r="I212" i="75"/>
  <c r="J345" i="20"/>
  <c r="I345" i="20"/>
  <c r="H345" i="20"/>
  <c r="L71" i="75" l="1"/>
  <c r="I71" i="75"/>
  <c r="J202" i="20"/>
  <c r="I202" i="20"/>
  <c r="H202" i="20"/>
  <c r="L317" i="75" l="1"/>
  <c r="I317" i="75"/>
  <c r="L444" i="75"/>
  <c r="L445" i="75"/>
  <c r="I444" i="75"/>
  <c r="I445" i="75"/>
  <c r="J436" i="20"/>
  <c r="J437" i="20"/>
  <c r="I436" i="20"/>
  <c r="I437" i="20"/>
  <c r="H436" i="20"/>
  <c r="H437" i="20"/>
  <c r="J58" i="20"/>
  <c r="J59" i="20"/>
  <c r="I58" i="20"/>
  <c r="I59" i="20"/>
  <c r="H58" i="20"/>
  <c r="H59" i="20"/>
  <c r="H60" i="20"/>
  <c r="J513" i="20" l="1"/>
  <c r="I513" i="20"/>
  <c r="H513" i="20"/>
  <c r="L358" i="75"/>
  <c r="I358" i="75"/>
  <c r="L320" i="75" l="1"/>
  <c r="I320" i="75"/>
  <c r="J482" i="20"/>
  <c r="I482" i="20"/>
  <c r="H482" i="20"/>
  <c r="J174" i="20" l="1"/>
  <c r="I174" i="20"/>
  <c r="H174" i="20"/>
  <c r="L50" i="75"/>
  <c r="I50" i="75"/>
  <c r="H364" i="20" l="1"/>
  <c r="I364" i="20"/>
  <c r="J364" i="20"/>
  <c r="L167" i="75"/>
  <c r="I167" i="75"/>
  <c r="L111" i="75"/>
  <c r="I111" i="75"/>
  <c r="L110" i="75"/>
  <c r="I110" i="75"/>
  <c r="L249" i="75" l="1"/>
  <c r="I249" i="75"/>
  <c r="J380" i="20"/>
  <c r="I380" i="20"/>
  <c r="H380" i="20"/>
  <c r="L51" i="75" l="1"/>
  <c r="I51" i="75"/>
  <c r="J175" i="20"/>
  <c r="I175" i="20"/>
  <c r="H175" i="20"/>
  <c r="L521" i="75" l="1"/>
  <c r="I521" i="75"/>
  <c r="I523" i="75"/>
  <c r="J134" i="20"/>
  <c r="I134" i="20"/>
  <c r="H134" i="20"/>
  <c r="H130" i="20"/>
  <c r="I130" i="20"/>
  <c r="J130" i="20"/>
  <c r="H135" i="20"/>
  <c r="I135" i="20"/>
  <c r="J135" i="20"/>
  <c r="L303" i="75" l="1"/>
  <c r="I303" i="75"/>
  <c r="J432" i="20"/>
  <c r="I432" i="20"/>
  <c r="H432" i="20"/>
  <c r="L19" i="75" l="1"/>
  <c r="I19" i="75"/>
  <c r="J150" i="20"/>
  <c r="I150" i="20"/>
  <c r="H150" i="20"/>
  <c r="J172" i="20" l="1"/>
  <c r="I172" i="20"/>
  <c r="H172" i="20"/>
  <c r="L48" i="75"/>
  <c r="I48" i="75"/>
  <c r="J460" i="20" l="1"/>
  <c r="I460" i="20"/>
  <c r="H460" i="20"/>
  <c r="L10" i="75"/>
  <c r="I10" i="75"/>
  <c r="J246" i="20"/>
  <c r="I246" i="20"/>
  <c r="H246" i="20"/>
  <c r="L491" i="75" l="1"/>
  <c r="I491" i="75"/>
  <c r="J104" i="20"/>
  <c r="I104" i="20"/>
  <c r="H104" i="20"/>
  <c r="E32" i="20" l="1"/>
  <c r="L120" i="75" l="1"/>
  <c r="I120" i="75"/>
  <c r="J247" i="20"/>
  <c r="H247" i="20"/>
  <c r="J38" i="20"/>
  <c r="I38" i="20"/>
  <c r="H38" i="20"/>
  <c r="J245" i="20"/>
  <c r="I245" i="20"/>
  <c r="H245" i="20"/>
  <c r="L363" i="75" l="1"/>
  <c r="I363" i="75"/>
  <c r="I362" i="75"/>
  <c r="L355" i="75"/>
  <c r="I355" i="75"/>
  <c r="L321" i="75"/>
  <c r="I321" i="75"/>
  <c r="L316" i="75"/>
  <c r="I316" i="75"/>
  <c r="J517" i="20"/>
  <c r="I517" i="20"/>
  <c r="H517" i="20"/>
  <c r="J509" i="20"/>
  <c r="I509" i="20"/>
  <c r="H509" i="20"/>
  <c r="J483" i="20"/>
  <c r="I483" i="20"/>
  <c r="H483" i="20"/>
  <c r="J479" i="20"/>
  <c r="I479" i="20"/>
  <c r="H479" i="20"/>
  <c r="J434" i="20" l="1"/>
  <c r="I434" i="20"/>
  <c r="H434" i="20"/>
  <c r="L307" i="75"/>
  <c r="I307" i="75"/>
  <c r="J475" i="20" l="1"/>
  <c r="I475" i="20"/>
  <c r="H475" i="20"/>
  <c r="L312" i="75"/>
  <c r="I312" i="75"/>
  <c r="L359" i="75" l="1"/>
  <c r="I359" i="75"/>
  <c r="L357" i="75"/>
  <c r="I357" i="75"/>
  <c r="J514" i="20"/>
  <c r="I514" i="20"/>
  <c r="H514" i="20"/>
  <c r="J512" i="20"/>
  <c r="I512" i="20"/>
  <c r="H512" i="20"/>
  <c r="J431" i="20" l="1"/>
  <c r="J435" i="20"/>
  <c r="I431" i="20"/>
  <c r="I435" i="20"/>
  <c r="H431" i="20"/>
  <c r="H435" i="20"/>
  <c r="J510" i="20"/>
  <c r="J511" i="20"/>
  <c r="J515" i="20"/>
  <c r="J516" i="20"/>
  <c r="I510" i="20"/>
  <c r="I511" i="20"/>
  <c r="I515" i="20"/>
  <c r="H511" i="20"/>
  <c r="H515" i="20"/>
  <c r="L309" i="75"/>
  <c r="L310" i="75"/>
  <c r="L311" i="75"/>
  <c r="I310" i="75"/>
  <c r="I311" i="75"/>
  <c r="L354" i="75"/>
  <c r="L356" i="75"/>
  <c r="L360" i="75"/>
  <c r="L361" i="75"/>
  <c r="I356" i="75"/>
  <c r="I360" i="75"/>
  <c r="L329" i="75" l="1"/>
  <c r="I329" i="75"/>
  <c r="L331" i="75" l="1"/>
  <c r="I331" i="75"/>
  <c r="L327" i="75"/>
  <c r="I327" i="75"/>
  <c r="J470" i="20" l="1"/>
  <c r="I470" i="20"/>
  <c r="H470" i="20"/>
  <c r="L302" i="75"/>
  <c r="I302" i="75"/>
  <c r="J486" i="20" l="1"/>
  <c r="I486" i="20"/>
  <c r="H486" i="20"/>
  <c r="J485" i="20"/>
  <c r="I485" i="20"/>
  <c r="H485" i="20"/>
  <c r="J481" i="20"/>
  <c r="I481" i="20"/>
  <c r="H481" i="20"/>
  <c r="J480" i="20"/>
  <c r="I480" i="20"/>
  <c r="H480" i="20"/>
  <c r="J478" i="20"/>
  <c r="I478" i="20"/>
  <c r="H478" i="20"/>
  <c r="J477" i="20"/>
  <c r="I477" i="20"/>
  <c r="H477" i="20"/>
  <c r="J476" i="20"/>
  <c r="I476" i="20"/>
  <c r="H476" i="20"/>
  <c r="J474" i="20"/>
  <c r="I474" i="20"/>
  <c r="H474" i="20"/>
  <c r="J473" i="20"/>
  <c r="I473" i="20"/>
  <c r="H473" i="20"/>
  <c r="J472" i="20"/>
  <c r="I472" i="20"/>
  <c r="H472" i="20"/>
  <c r="J471" i="20"/>
  <c r="I471" i="20"/>
  <c r="H471" i="20"/>
  <c r="L306" i="75"/>
  <c r="I306" i="75"/>
  <c r="L308" i="75"/>
  <c r="I308" i="75"/>
  <c r="I309" i="75"/>
  <c r="L313" i="75"/>
  <c r="I313" i="75"/>
  <c r="L314" i="75"/>
  <c r="I314" i="75"/>
  <c r="L315" i="75"/>
  <c r="I315" i="75"/>
  <c r="L318" i="75"/>
  <c r="I318" i="75"/>
  <c r="L319" i="75"/>
  <c r="I319" i="75"/>
  <c r="I361" i="75"/>
  <c r="I516" i="20" l="1"/>
  <c r="H516" i="20"/>
  <c r="L347" i="75" l="1"/>
  <c r="I347" i="75"/>
  <c r="L342" i="75"/>
  <c r="I342" i="75"/>
  <c r="J501" i="20"/>
  <c r="I501" i="20"/>
  <c r="H501" i="20"/>
  <c r="J495" i="20"/>
  <c r="I495" i="20"/>
  <c r="H495" i="20"/>
  <c r="I380" i="75" l="1"/>
  <c r="L380" i="75" l="1"/>
  <c r="J531" i="20"/>
  <c r="I531" i="20"/>
  <c r="H531" i="20"/>
  <c r="L410" i="75" l="1"/>
  <c r="I410" i="75"/>
  <c r="J559" i="20"/>
  <c r="I559" i="20"/>
  <c r="H559" i="20"/>
  <c r="L214" i="75" l="1"/>
  <c r="I214" i="75"/>
  <c r="L240" i="75"/>
  <c r="I240" i="75"/>
  <c r="J347" i="20"/>
  <c r="I347" i="20"/>
  <c r="H347" i="20"/>
  <c r="J370" i="20"/>
  <c r="I370" i="20"/>
  <c r="H370" i="20"/>
  <c r="J560" i="20" l="1"/>
  <c r="I560" i="20"/>
  <c r="H560" i="20"/>
  <c r="L411" i="75"/>
  <c r="I411" i="75"/>
  <c r="L204" i="75" l="1"/>
  <c r="I204" i="75"/>
  <c r="J334" i="20"/>
  <c r="I334" i="20"/>
  <c r="H334" i="20"/>
  <c r="L205" i="75" l="1"/>
  <c r="I205" i="75"/>
  <c r="J337" i="20"/>
  <c r="I337" i="20"/>
  <c r="H337" i="20"/>
  <c r="J374" i="20" l="1"/>
  <c r="I374" i="20"/>
  <c r="H374" i="20"/>
  <c r="L244" i="75"/>
  <c r="I244" i="75"/>
  <c r="J333" i="20" l="1"/>
  <c r="I333" i="20"/>
  <c r="H333" i="20"/>
  <c r="L203" i="75"/>
  <c r="I203" i="75"/>
  <c r="L352" i="75" l="1"/>
  <c r="I352" i="75"/>
  <c r="J506" i="20"/>
  <c r="I506" i="20"/>
  <c r="H506" i="20"/>
  <c r="L446" i="75" l="1"/>
  <c r="I446" i="75"/>
  <c r="J60" i="20"/>
  <c r="I60" i="20"/>
  <c r="J255" i="20" l="1"/>
  <c r="I255" i="20"/>
  <c r="H255" i="20"/>
  <c r="L126" i="75"/>
  <c r="I126" i="75"/>
  <c r="L506" i="75"/>
  <c r="I506" i="75"/>
  <c r="J119" i="20"/>
  <c r="I119" i="20"/>
  <c r="H119" i="20"/>
  <c r="J328" i="20" l="1"/>
  <c r="I328" i="20"/>
  <c r="H328" i="20"/>
  <c r="L199" i="75"/>
  <c r="I199" i="75"/>
  <c r="L262" i="75" l="1"/>
  <c r="I262" i="75"/>
  <c r="J391" i="20"/>
  <c r="I391" i="20"/>
  <c r="H391" i="20"/>
  <c r="J192" i="20" l="1"/>
  <c r="I192" i="20"/>
  <c r="H192" i="20"/>
  <c r="L63" i="75"/>
  <c r="I63" i="75"/>
  <c r="L486" i="75"/>
  <c r="I486" i="75"/>
  <c r="J98" i="20"/>
  <c r="I98" i="20"/>
  <c r="H98" i="20"/>
  <c r="J294" i="20" l="1"/>
  <c r="I294" i="20"/>
  <c r="H294" i="20"/>
  <c r="L168" i="75"/>
  <c r="I168" i="75"/>
  <c r="L326" i="75" l="1"/>
  <c r="I326" i="75"/>
  <c r="J430" i="20" l="1"/>
  <c r="I430" i="20"/>
  <c r="H430" i="20"/>
  <c r="L299" i="75"/>
  <c r="I299" i="75"/>
  <c r="J508" i="20"/>
  <c r="I508" i="20"/>
  <c r="H508" i="20"/>
  <c r="I354" i="75"/>
  <c r="J354" i="20" l="1"/>
  <c r="I354" i="20"/>
  <c r="H354" i="20"/>
  <c r="J276" i="20"/>
  <c r="I276" i="20"/>
  <c r="H276" i="20"/>
  <c r="L147" i="75"/>
  <c r="I147" i="75"/>
  <c r="J324" i="20" l="1"/>
  <c r="I324" i="20"/>
  <c r="H324" i="20"/>
  <c r="L195" i="75"/>
  <c r="I195" i="75"/>
  <c r="J152" i="20" l="1"/>
  <c r="I152" i="20"/>
  <c r="H152" i="20"/>
  <c r="L22" i="75"/>
  <c r="I22" i="75"/>
  <c r="L260" i="75" l="1"/>
  <c r="I260" i="75"/>
  <c r="J389" i="20"/>
  <c r="I389" i="20"/>
  <c r="H389" i="20"/>
  <c r="J558" i="20" l="1"/>
  <c r="I558" i="20"/>
  <c r="H558" i="20"/>
  <c r="L409" i="75"/>
  <c r="I409" i="75"/>
  <c r="L134" i="75"/>
  <c r="I134" i="75"/>
  <c r="J261" i="20"/>
  <c r="I261" i="20"/>
  <c r="H261" i="20"/>
  <c r="J331" i="20" l="1"/>
  <c r="I331" i="20"/>
  <c r="H331" i="20"/>
  <c r="J82" i="20" l="1"/>
  <c r="I82" i="20"/>
  <c r="H82" i="20"/>
  <c r="L470" i="75"/>
  <c r="I470" i="75"/>
  <c r="J518" i="20" l="1"/>
  <c r="I518" i="20"/>
  <c r="H518" i="20"/>
  <c r="J190" i="20" l="1"/>
  <c r="I190" i="20"/>
  <c r="H190" i="20"/>
  <c r="L61" i="75"/>
  <c r="I61" i="75"/>
  <c r="L277" i="75"/>
  <c r="I277" i="75"/>
  <c r="J408" i="20"/>
  <c r="I408" i="20"/>
  <c r="H408" i="20"/>
  <c r="L60" i="75" l="1"/>
  <c r="I60" i="75"/>
  <c r="J189" i="20"/>
  <c r="I189" i="20"/>
  <c r="H189" i="20"/>
  <c r="L169" i="75" l="1"/>
  <c r="I169" i="75"/>
  <c r="J295" i="20"/>
  <c r="I295" i="20"/>
  <c r="H295" i="20"/>
  <c r="J263" i="20" l="1"/>
  <c r="I263" i="20"/>
  <c r="H263" i="20"/>
  <c r="L136" i="75"/>
  <c r="I136" i="75"/>
  <c r="L424" i="75" l="1"/>
  <c r="I424" i="75"/>
  <c r="L219" i="75"/>
  <c r="I219" i="75"/>
  <c r="J581" i="20"/>
  <c r="I581" i="20"/>
  <c r="H581" i="20"/>
  <c r="J351" i="20"/>
  <c r="I351" i="20"/>
  <c r="H351" i="20"/>
  <c r="J438" i="20" l="1"/>
  <c r="I438" i="20"/>
  <c r="H438" i="20"/>
  <c r="L324" i="75"/>
  <c r="I324" i="75"/>
  <c r="J296" i="20" l="1"/>
  <c r="I296" i="20"/>
  <c r="H296" i="20"/>
  <c r="L170" i="75"/>
  <c r="I170" i="75"/>
  <c r="L33" i="75" l="1"/>
  <c r="I33" i="75"/>
  <c r="L18" i="75"/>
  <c r="I18" i="75"/>
  <c r="L16" i="75"/>
  <c r="I16" i="75"/>
  <c r="J467" i="20" l="1"/>
  <c r="I467" i="20"/>
  <c r="H467" i="20"/>
  <c r="L59" i="75" l="1"/>
  <c r="I59" i="75"/>
  <c r="J188" i="20"/>
  <c r="I188" i="20"/>
  <c r="H188" i="20"/>
  <c r="L87" i="75" l="1"/>
  <c r="I87" i="75"/>
  <c r="J216" i="20"/>
  <c r="I216" i="20"/>
  <c r="H216" i="20"/>
  <c r="L140" i="75" l="1"/>
  <c r="I140" i="75"/>
  <c r="J180" i="20"/>
  <c r="I180" i="20"/>
  <c r="J179" i="20"/>
  <c r="I179" i="20"/>
  <c r="L481" i="75" l="1"/>
  <c r="I481" i="75"/>
  <c r="J93" i="20"/>
  <c r="I93" i="20"/>
  <c r="H93" i="20"/>
  <c r="L49" i="75" l="1"/>
  <c r="I49" i="75"/>
  <c r="J173" i="20"/>
  <c r="I173" i="20"/>
  <c r="H173" i="20"/>
  <c r="J427" i="20" l="1"/>
  <c r="I427" i="20"/>
  <c r="H427" i="20"/>
  <c r="L296" i="75"/>
  <c r="I296" i="75"/>
  <c r="L385" i="75"/>
  <c r="I385" i="75"/>
  <c r="J536" i="20"/>
  <c r="I536" i="20"/>
  <c r="H536" i="20"/>
  <c r="L386" i="75" l="1"/>
  <c r="I386" i="75"/>
  <c r="J537" i="20"/>
  <c r="I537" i="20"/>
  <c r="H537" i="20"/>
  <c r="L337" i="75" l="1"/>
  <c r="I337" i="75"/>
  <c r="J491" i="20"/>
  <c r="I491" i="20"/>
  <c r="H491" i="20"/>
  <c r="L231" i="75" l="1"/>
  <c r="I231" i="75"/>
  <c r="L112" i="75"/>
  <c r="I112" i="75"/>
  <c r="L172" i="75"/>
  <c r="I172" i="75"/>
  <c r="L279" i="75"/>
  <c r="I279" i="75"/>
  <c r="J410" i="20"/>
  <c r="I410" i="20"/>
  <c r="H410" i="20"/>
  <c r="J299" i="20"/>
  <c r="I299" i="20"/>
  <c r="H299" i="20"/>
  <c r="J238" i="20"/>
  <c r="I238" i="20"/>
  <c r="H238" i="20"/>
  <c r="I360" i="20"/>
  <c r="H360" i="20"/>
  <c r="L171" i="75" l="1"/>
  <c r="I171" i="75"/>
  <c r="J297" i="20"/>
  <c r="I297" i="20"/>
  <c r="H297" i="20"/>
  <c r="L14" i="75" l="1"/>
  <c r="I14" i="75"/>
  <c r="J147" i="20"/>
  <c r="I147" i="20"/>
  <c r="H147" i="20"/>
  <c r="L92" i="75" l="1"/>
  <c r="I92" i="75"/>
  <c r="L465" i="75"/>
  <c r="I465" i="75"/>
  <c r="J77" i="20"/>
  <c r="I77" i="20"/>
  <c r="H77" i="20"/>
  <c r="J220" i="20"/>
  <c r="I220" i="20"/>
  <c r="H220" i="20"/>
  <c r="L151" i="75" l="1"/>
  <c r="I151" i="75"/>
  <c r="J279" i="20"/>
  <c r="I279" i="20"/>
  <c r="H279" i="20"/>
  <c r="L17" i="75" l="1"/>
  <c r="I17" i="75"/>
  <c r="J149" i="20"/>
  <c r="I149" i="20"/>
  <c r="H149" i="20"/>
  <c r="L278" i="75" l="1"/>
  <c r="I278" i="75"/>
  <c r="J409" i="20"/>
  <c r="I409" i="20"/>
  <c r="H409" i="20"/>
  <c r="J522" i="20" l="1"/>
  <c r="I522" i="20"/>
  <c r="H522" i="20"/>
  <c r="L235" i="75" l="1"/>
  <c r="I235" i="75"/>
  <c r="J365" i="20"/>
  <c r="I365" i="20"/>
  <c r="H365" i="20"/>
  <c r="L165" i="75" l="1"/>
  <c r="I165" i="75"/>
  <c r="J292" i="20"/>
  <c r="I292" i="20"/>
  <c r="H292" i="20"/>
  <c r="L239" i="75" l="1"/>
  <c r="I239" i="75"/>
  <c r="J369" i="20"/>
  <c r="I369" i="20"/>
  <c r="H369" i="20"/>
  <c r="L507" i="75" l="1"/>
  <c r="I507" i="75"/>
  <c r="J120" i="20"/>
  <c r="I120" i="20"/>
  <c r="H120" i="20"/>
  <c r="J71" i="20" l="1"/>
  <c r="I71" i="20"/>
  <c r="H71" i="20"/>
  <c r="L457" i="75"/>
  <c r="I457" i="75"/>
  <c r="L62" i="75"/>
  <c r="I62" i="75"/>
  <c r="J191" i="20"/>
  <c r="I191" i="20"/>
  <c r="H191" i="20"/>
  <c r="L339" i="75" l="1"/>
  <c r="I339" i="75"/>
  <c r="J493" i="20"/>
  <c r="I493" i="20"/>
  <c r="H493" i="20"/>
  <c r="L259" i="75" l="1"/>
  <c r="I259" i="75"/>
  <c r="J388" i="20"/>
  <c r="I388" i="20"/>
  <c r="H388" i="20"/>
  <c r="L443" i="75" l="1"/>
  <c r="I443" i="75"/>
  <c r="J57" i="20"/>
  <c r="I57" i="20"/>
  <c r="H57" i="20"/>
  <c r="L475" i="75" l="1"/>
  <c r="I475" i="75"/>
  <c r="J87" i="20"/>
  <c r="I87" i="20"/>
  <c r="H87" i="20"/>
  <c r="L334" i="75" l="1"/>
  <c r="I334" i="75"/>
  <c r="J488" i="20"/>
  <c r="I488" i="20"/>
  <c r="H488" i="20"/>
  <c r="L333" i="75" l="1"/>
  <c r="I333" i="75"/>
  <c r="L288" i="75" l="1"/>
  <c r="I288" i="75"/>
  <c r="L421" i="75"/>
  <c r="I421" i="75"/>
  <c r="L485" i="75"/>
  <c r="I485" i="75"/>
  <c r="J487" i="20" l="1"/>
  <c r="I487" i="20"/>
  <c r="H487" i="20"/>
  <c r="L367" i="75" l="1"/>
  <c r="I367" i="75"/>
  <c r="L77" i="75" l="1"/>
  <c r="L79" i="75"/>
  <c r="I77" i="75"/>
  <c r="J205" i="20" l="1"/>
  <c r="J206" i="20"/>
  <c r="I206" i="20"/>
  <c r="I208" i="20"/>
  <c r="H206" i="20"/>
  <c r="L454" i="75" l="1"/>
  <c r="I454" i="75"/>
  <c r="J68" i="20"/>
  <c r="I68" i="20"/>
  <c r="H68" i="20"/>
  <c r="J439" i="20" l="1"/>
  <c r="I439" i="20"/>
  <c r="H439" i="20"/>
  <c r="L325" i="75"/>
  <c r="I325" i="75"/>
  <c r="L455" i="75" l="1"/>
  <c r="I455" i="75"/>
  <c r="J69" i="20"/>
  <c r="I69" i="20"/>
  <c r="H69" i="20"/>
  <c r="L504" i="75" l="1"/>
  <c r="I504" i="75"/>
  <c r="J115" i="20"/>
  <c r="I115" i="20"/>
  <c r="H115" i="20"/>
  <c r="L462" i="75"/>
  <c r="I462" i="75"/>
  <c r="J74" i="20"/>
  <c r="I74" i="20"/>
  <c r="H74" i="20"/>
  <c r="J533" i="20" l="1"/>
  <c r="I533" i="20"/>
  <c r="H533" i="20"/>
  <c r="J425" i="20"/>
  <c r="I425" i="20"/>
  <c r="H425" i="20"/>
  <c r="L295" i="75"/>
  <c r="I295" i="75"/>
  <c r="L382" i="75"/>
  <c r="I382" i="75"/>
  <c r="L197" i="75" l="1"/>
  <c r="I197" i="75"/>
  <c r="L181" i="75"/>
  <c r="I181" i="75"/>
  <c r="J307" i="20"/>
  <c r="I307" i="20"/>
  <c r="H307" i="20"/>
  <c r="L282" i="75" l="1"/>
  <c r="I282" i="75"/>
  <c r="J412" i="20"/>
  <c r="I412" i="20"/>
  <c r="H412" i="20"/>
  <c r="L3" i="75" l="1"/>
  <c r="I3" i="75"/>
  <c r="J454" i="20"/>
  <c r="I454" i="20"/>
  <c r="H454" i="20"/>
  <c r="J461" i="20" l="1"/>
  <c r="I461" i="20"/>
  <c r="H461" i="20"/>
  <c r="J463" i="20"/>
  <c r="I463" i="20"/>
  <c r="H463" i="20"/>
  <c r="L404" i="75" l="1"/>
  <c r="I404" i="75"/>
  <c r="J553" i="20"/>
  <c r="I553" i="20"/>
  <c r="H553" i="20"/>
  <c r="L403" i="75" l="1"/>
  <c r="I403" i="75"/>
  <c r="J552" i="20"/>
  <c r="I552" i="20"/>
  <c r="H552" i="20"/>
  <c r="L405" i="75" l="1"/>
  <c r="I405" i="75"/>
  <c r="J554" i="20"/>
  <c r="I554" i="20"/>
  <c r="H554" i="20"/>
  <c r="L497" i="75" l="1"/>
  <c r="L501" i="75"/>
  <c r="I501" i="75"/>
  <c r="I112" i="20" l="1"/>
  <c r="H112" i="20"/>
  <c r="L180" i="75" l="1"/>
  <c r="I180" i="75"/>
  <c r="J306" i="20"/>
  <c r="I306" i="20"/>
  <c r="H306" i="20"/>
  <c r="L492" i="75" l="1"/>
  <c r="I492" i="75"/>
  <c r="J105" i="20"/>
  <c r="I105" i="20"/>
  <c r="H105" i="20"/>
  <c r="L413" i="75" l="1"/>
  <c r="I413" i="75"/>
  <c r="J562" i="20"/>
  <c r="I562" i="20"/>
  <c r="H562" i="20"/>
  <c r="L179" i="75" l="1"/>
  <c r="I179" i="75"/>
  <c r="J305" i="20"/>
  <c r="I305" i="20"/>
  <c r="H305" i="20"/>
  <c r="L178" i="75" l="1"/>
  <c r="I178" i="75"/>
  <c r="J304" i="20"/>
  <c r="I304" i="20"/>
  <c r="H304" i="20"/>
  <c r="L53" i="75" l="1"/>
  <c r="I53" i="75"/>
  <c r="J178" i="20"/>
  <c r="I178" i="20"/>
  <c r="H178" i="20"/>
  <c r="H180" i="20" l="1"/>
  <c r="H179" i="20"/>
  <c r="J300" i="20" l="1"/>
  <c r="I300" i="20"/>
  <c r="H300" i="20"/>
  <c r="J109" i="20"/>
  <c r="J110" i="20"/>
  <c r="I109" i="20"/>
  <c r="I110" i="20"/>
  <c r="H109" i="20"/>
  <c r="H110" i="20"/>
  <c r="L496" i="75" l="1"/>
  <c r="I496" i="75"/>
  <c r="I497" i="75"/>
  <c r="L173" i="75" l="1"/>
  <c r="I173" i="75"/>
  <c r="L177" i="75"/>
  <c r="L388" i="75" l="1"/>
  <c r="I388" i="75"/>
  <c r="J538" i="20"/>
  <c r="I538" i="20"/>
  <c r="H538" i="20"/>
  <c r="L384" i="75" l="1"/>
  <c r="I384" i="75"/>
  <c r="J535" i="20"/>
  <c r="I535" i="20"/>
  <c r="H535" i="20"/>
  <c r="L65" i="75" l="1"/>
  <c r="I65" i="75"/>
  <c r="J196" i="20"/>
  <c r="I196" i="20"/>
  <c r="H196" i="20"/>
  <c r="H197" i="20"/>
  <c r="I197" i="20"/>
  <c r="J197" i="20"/>
  <c r="L66" i="75" l="1"/>
  <c r="I66" i="75"/>
  <c r="L423" i="75" l="1"/>
  <c r="I423" i="75"/>
  <c r="J572" i="20" l="1"/>
  <c r="I572" i="20"/>
  <c r="H572" i="20"/>
  <c r="B1" i="75" l="1"/>
  <c r="D1" i="75"/>
  <c r="G1" i="75"/>
  <c r="I1" i="75"/>
  <c r="K1" i="75"/>
  <c r="I4" i="75"/>
  <c r="L4" i="75"/>
  <c r="I5" i="75"/>
  <c r="L5" i="75"/>
  <c r="I7" i="75"/>
  <c r="L7" i="75"/>
  <c r="I9" i="75"/>
  <c r="L9" i="75"/>
  <c r="I11" i="75"/>
  <c r="L11" i="75"/>
  <c r="I15" i="75"/>
  <c r="L15" i="75"/>
  <c r="I21" i="75"/>
  <c r="L21" i="75"/>
  <c r="I23" i="75"/>
  <c r="L23" i="75"/>
  <c r="I25" i="75"/>
  <c r="L25" i="75"/>
  <c r="I26" i="75"/>
  <c r="L26" i="75"/>
  <c r="I27" i="75"/>
  <c r="L27" i="75"/>
  <c r="I28" i="75"/>
  <c r="L28" i="75"/>
  <c r="I30" i="75"/>
  <c r="L30" i="75"/>
  <c r="L31" i="75"/>
  <c r="I34" i="75"/>
  <c r="L34" i="75"/>
  <c r="I37" i="75"/>
  <c r="L37" i="75"/>
  <c r="I38" i="75"/>
  <c r="L38" i="75"/>
  <c r="I39" i="75"/>
  <c r="L39" i="75"/>
  <c r="I40" i="75"/>
  <c r="L40" i="75"/>
  <c r="I43" i="75"/>
  <c r="L43" i="75"/>
  <c r="I45" i="75"/>
  <c r="L45" i="75"/>
  <c r="I46" i="75"/>
  <c r="L46" i="75"/>
  <c r="I52" i="75"/>
  <c r="L52" i="75"/>
  <c r="I54" i="75"/>
  <c r="L54" i="75"/>
  <c r="I55" i="75"/>
  <c r="L55" i="75"/>
  <c r="I64" i="75"/>
  <c r="L64" i="75"/>
  <c r="I68" i="75"/>
  <c r="L68" i="75"/>
  <c r="I69" i="75"/>
  <c r="L69" i="75"/>
  <c r="I75" i="75"/>
  <c r="L75" i="75"/>
  <c r="I76" i="75"/>
  <c r="L76" i="75"/>
  <c r="I79" i="75"/>
  <c r="I80" i="75"/>
  <c r="L80" i="75"/>
  <c r="I81" i="75"/>
  <c r="L81" i="75"/>
  <c r="I82" i="75"/>
  <c r="L82" i="75"/>
  <c r="I84" i="75"/>
  <c r="L84" i="75"/>
  <c r="I85" i="75"/>
  <c r="L85" i="75"/>
  <c r="I88" i="75"/>
  <c r="L88" i="75"/>
  <c r="I91" i="75"/>
  <c r="L91" i="75"/>
  <c r="I93" i="75"/>
  <c r="L93" i="75"/>
  <c r="I95" i="75"/>
  <c r="L95" i="75"/>
  <c r="I96" i="75"/>
  <c r="L96" i="75"/>
  <c r="I97" i="75"/>
  <c r="L97" i="75"/>
  <c r="I98" i="75"/>
  <c r="L98" i="75"/>
  <c r="I99" i="75"/>
  <c r="L99" i="75"/>
  <c r="I102" i="75"/>
  <c r="L102" i="75"/>
  <c r="I104" i="75"/>
  <c r="L104" i="75"/>
  <c r="I105" i="75"/>
  <c r="L105" i="75"/>
  <c r="I106" i="75"/>
  <c r="L106" i="75"/>
  <c r="I107" i="75"/>
  <c r="L107" i="75"/>
  <c r="I108" i="75"/>
  <c r="L108" i="75"/>
  <c r="I109" i="75"/>
  <c r="L109" i="75"/>
  <c r="I113" i="75"/>
  <c r="L113" i="75"/>
  <c r="I114" i="75"/>
  <c r="L114" i="75"/>
  <c r="I115" i="75"/>
  <c r="L115" i="75"/>
  <c r="I116" i="75"/>
  <c r="L116" i="75"/>
  <c r="I117" i="75"/>
  <c r="L117" i="75"/>
  <c r="I118" i="75"/>
  <c r="L118" i="75"/>
  <c r="I119" i="75"/>
  <c r="L119" i="75"/>
  <c r="I123" i="75"/>
  <c r="L123" i="75"/>
  <c r="I124" i="75"/>
  <c r="L124" i="75"/>
  <c r="I125" i="75"/>
  <c r="L125" i="75"/>
  <c r="I127" i="75"/>
  <c r="L127" i="75"/>
  <c r="I133" i="75"/>
  <c r="L133" i="75"/>
  <c r="I135" i="75"/>
  <c r="L135" i="75"/>
  <c r="I138" i="75"/>
  <c r="L138" i="75"/>
  <c r="I139" i="75"/>
  <c r="L139" i="75"/>
  <c r="I141" i="75"/>
  <c r="L141" i="75"/>
  <c r="I142" i="75"/>
  <c r="L142" i="75"/>
  <c r="I144" i="75"/>
  <c r="L144" i="75"/>
  <c r="I145" i="75"/>
  <c r="L145" i="75"/>
  <c r="I146" i="75"/>
  <c r="L146" i="75"/>
  <c r="I155" i="75"/>
  <c r="L155" i="75"/>
  <c r="I156" i="75"/>
  <c r="L156" i="75"/>
  <c r="I157" i="75"/>
  <c r="L157" i="75"/>
  <c r="I158" i="75"/>
  <c r="L158" i="75"/>
  <c r="I159" i="75"/>
  <c r="L159" i="75"/>
  <c r="I161" i="75"/>
  <c r="L161" i="75"/>
  <c r="I162" i="75"/>
  <c r="L162" i="75"/>
  <c r="I164" i="75"/>
  <c r="L164" i="75"/>
  <c r="I166" i="75"/>
  <c r="L166" i="75"/>
  <c r="I174" i="75"/>
  <c r="L174" i="75"/>
  <c r="I175" i="75"/>
  <c r="L175" i="75"/>
  <c r="I176" i="75"/>
  <c r="L176" i="75"/>
  <c r="I177" i="75"/>
  <c r="I194" i="75"/>
  <c r="L194" i="75"/>
  <c r="I196" i="75"/>
  <c r="L196" i="75"/>
  <c r="I201" i="75"/>
  <c r="L201" i="75"/>
  <c r="I202" i="75"/>
  <c r="L202" i="75"/>
  <c r="I209" i="75"/>
  <c r="L209" i="75"/>
  <c r="I210" i="75"/>
  <c r="L210" i="75"/>
  <c r="I213" i="75"/>
  <c r="L213" i="75"/>
  <c r="I215" i="75"/>
  <c r="L215" i="75"/>
  <c r="I218" i="75"/>
  <c r="L218" i="75"/>
  <c r="I224" i="75"/>
  <c r="L224" i="75"/>
  <c r="I226" i="75"/>
  <c r="L226" i="75"/>
  <c r="I227" i="75"/>
  <c r="L227" i="75"/>
  <c r="I233" i="75"/>
  <c r="L233" i="75"/>
  <c r="I234" i="75"/>
  <c r="L234" i="75"/>
  <c r="I236" i="75"/>
  <c r="L236" i="75"/>
  <c r="I237" i="75"/>
  <c r="L237" i="75"/>
  <c r="I238" i="75"/>
  <c r="L238" i="75"/>
  <c r="I241" i="75"/>
  <c r="L241" i="75"/>
  <c r="I242" i="75"/>
  <c r="L242" i="75"/>
  <c r="I243" i="75"/>
  <c r="L243" i="75"/>
  <c r="I252" i="75"/>
  <c r="L252" i="75"/>
  <c r="I255" i="75"/>
  <c r="L255" i="75"/>
  <c r="I257" i="75"/>
  <c r="L257" i="75"/>
  <c r="I275" i="75"/>
  <c r="L275" i="75"/>
  <c r="I276" i="75"/>
  <c r="L276" i="75"/>
  <c r="I280" i="75"/>
  <c r="L280" i="75"/>
  <c r="I281" i="75"/>
  <c r="L281" i="75"/>
  <c r="I285" i="75"/>
  <c r="L285" i="75"/>
  <c r="I287" i="75"/>
  <c r="L287" i="75"/>
  <c r="I289" i="75"/>
  <c r="L289" i="75"/>
  <c r="I290" i="75"/>
  <c r="L290" i="75"/>
  <c r="I293" i="75"/>
  <c r="L293" i="75"/>
  <c r="I294" i="75"/>
  <c r="L294" i="75"/>
  <c r="I298" i="75"/>
  <c r="L298" i="75"/>
  <c r="I300" i="75"/>
  <c r="L300" i="75"/>
  <c r="I301" i="75"/>
  <c r="L301" i="75"/>
  <c r="I323" i="75"/>
  <c r="L323" i="75"/>
  <c r="I335" i="75"/>
  <c r="L335" i="75"/>
  <c r="I336" i="75"/>
  <c r="L336" i="75"/>
  <c r="I338" i="75"/>
  <c r="L338" i="75"/>
  <c r="I340" i="75"/>
  <c r="L340" i="75"/>
  <c r="I348" i="75"/>
  <c r="L348" i="75"/>
  <c r="I349" i="75"/>
  <c r="L349" i="75"/>
  <c r="I353" i="75"/>
  <c r="L353" i="75"/>
  <c r="L362" i="75"/>
  <c r="I369" i="75"/>
  <c r="L369" i="75"/>
  <c r="I371" i="75"/>
  <c r="L371" i="75"/>
  <c r="I372" i="75"/>
  <c r="L372" i="75"/>
  <c r="I376" i="75"/>
  <c r="L376" i="75"/>
  <c r="I377" i="75"/>
  <c r="L377" i="75"/>
  <c r="I378" i="75"/>
  <c r="L378" i="75"/>
  <c r="I379" i="75"/>
  <c r="L379" i="75"/>
  <c r="I381" i="75"/>
  <c r="L381" i="75"/>
  <c r="I383" i="75"/>
  <c r="L383" i="75"/>
  <c r="I389" i="75"/>
  <c r="L389" i="75"/>
  <c r="I390" i="75"/>
  <c r="L390" i="75"/>
  <c r="I392" i="75"/>
  <c r="L392" i="75"/>
  <c r="I393" i="75"/>
  <c r="L393" i="75"/>
  <c r="I395" i="75"/>
  <c r="L395" i="75"/>
  <c r="I396" i="75"/>
  <c r="L396" i="75"/>
  <c r="I397" i="75"/>
  <c r="L397" i="75"/>
  <c r="I398" i="75"/>
  <c r="L398" i="75"/>
  <c r="I399" i="75"/>
  <c r="L399" i="75"/>
  <c r="I400" i="75"/>
  <c r="L400" i="75"/>
  <c r="I401" i="75"/>
  <c r="L401" i="75"/>
  <c r="I402" i="75"/>
  <c r="L402" i="75"/>
  <c r="I408" i="75"/>
  <c r="L408" i="75"/>
  <c r="I412" i="75"/>
  <c r="L412" i="75"/>
  <c r="I414" i="75"/>
  <c r="L414" i="75"/>
  <c r="I418" i="75"/>
  <c r="L418" i="75"/>
  <c r="I419" i="75"/>
  <c r="L419" i="75"/>
  <c r="I420" i="75"/>
  <c r="L420" i="75"/>
  <c r="I422" i="75"/>
  <c r="L422" i="75"/>
  <c r="I428" i="75"/>
  <c r="L428" i="75"/>
  <c r="I431" i="75"/>
  <c r="L431" i="75"/>
  <c r="I433" i="75"/>
  <c r="L433" i="75"/>
  <c r="I435" i="75"/>
  <c r="L435" i="75"/>
  <c r="I436" i="75"/>
  <c r="L436" i="75"/>
  <c r="I439" i="75"/>
  <c r="L439" i="75"/>
  <c r="I440" i="75"/>
  <c r="L440" i="75"/>
  <c r="I447" i="75"/>
  <c r="L447" i="75"/>
  <c r="I449" i="75"/>
  <c r="L449" i="75"/>
  <c r="I450" i="75"/>
  <c r="L450" i="75"/>
  <c r="I452" i="75"/>
  <c r="L452" i="75"/>
  <c r="I461" i="75"/>
  <c r="L461" i="75"/>
  <c r="I463" i="75"/>
  <c r="L463" i="75"/>
  <c r="I464" i="75"/>
  <c r="L464" i="75"/>
  <c r="I466" i="75"/>
  <c r="L466" i="75"/>
  <c r="I467" i="75"/>
  <c r="L467" i="75"/>
  <c r="I469" i="75"/>
  <c r="L469" i="75"/>
  <c r="I473" i="75"/>
  <c r="L473" i="75"/>
  <c r="I474" i="75"/>
  <c r="L474" i="75"/>
  <c r="I476" i="75"/>
  <c r="L476" i="75"/>
  <c r="I478" i="75"/>
  <c r="L478" i="75"/>
  <c r="I480" i="75"/>
  <c r="L480" i="75"/>
  <c r="I482" i="75"/>
  <c r="L482" i="75"/>
  <c r="I484" i="75"/>
  <c r="L484" i="75"/>
  <c r="I490" i="75"/>
  <c r="L490" i="75"/>
  <c r="I508" i="75"/>
  <c r="L508" i="75"/>
  <c r="I510" i="75"/>
  <c r="L510" i="75"/>
  <c r="I513" i="75"/>
  <c r="L513" i="75"/>
  <c r="I515" i="75"/>
  <c r="L515" i="75"/>
  <c r="I516" i="75"/>
  <c r="L516" i="75"/>
  <c r="I518" i="75"/>
  <c r="L518" i="75"/>
  <c r="L523" i="75"/>
  <c r="I524" i="75"/>
  <c r="L524" i="75"/>
  <c r="I525" i="75"/>
  <c r="L525" i="75"/>
  <c r="J526" i="75" l="1"/>
  <c r="J58" i="75"/>
  <c r="J193" i="75"/>
  <c r="J274" i="75"/>
  <c r="J332" i="75"/>
  <c r="J6" i="75" s="1"/>
  <c r="J8" i="75" s="1"/>
  <c r="J368" i="75"/>
  <c r="J391" i="75"/>
  <c r="J434" i="75"/>
  <c r="J441" i="75" s="1"/>
  <c r="J122" i="75"/>
  <c r="E526" i="75"/>
  <c r="E193" i="75"/>
  <c r="E274" i="75"/>
  <c r="E332" i="75"/>
  <c r="E6" i="75" s="1"/>
  <c r="E8" i="75" s="1"/>
  <c r="E391" i="75"/>
  <c r="E434" i="75"/>
  <c r="E58" i="75"/>
  <c r="E122" i="75"/>
  <c r="E368" i="75"/>
  <c r="H58" i="75"/>
  <c r="H193" i="75"/>
  <c r="H274" i="75"/>
  <c r="H332" i="75"/>
  <c r="H6" i="75" s="1"/>
  <c r="H368" i="75"/>
  <c r="H391" i="75"/>
  <c r="H434" i="75"/>
  <c r="H122" i="75"/>
  <c r="H526" i="75"/>
  <c r="G368" i="75"/>
  <c r="G122" i="75"/>
  <c r="G526" i="75"/>
  <c r="G193" i="75"/>
  <c r="G274" i="75"/>
  <c r="G332" i="75"/>
  <c r="G391" i="75"/>
  <c r="G434" i="75"/>
  <c r="L58" i="75" l="1"/>
  <c r="L391" i="75"/>
  <c r="L193" i="75"/>
  <c r="L526" i="75"/>
  <c r="J527" i="75"/>
  <c r="L122" i="75"/>
  <c r="L274" i="75"/>
  <c r="L368" i="75"/>
  <c r="E441" i="75"/>
  <c r="E527" i="75" s="1"/>
  <c r="I368" i="75"/>
  <c r="L332" i="75"/>
  <c r="G6" i="75"/>
  <c r="H8" i="75"/>
  <c r="G441" i="75"/>
  <c r="L434" i="75"/>
  <c r="I391" i="75"/>
  <c r="I193" i="75"/>
  <c r="I526" i="75"/>
  <c r="I58" i="75"/>
  <c r="I122" i="75"/>
  <c r="I332" i="75"/>
  <c r="H441" i="75"/>
  <c r="I434" i="75"/>
  <c r="I274" i="75"/>
  <c r="I145" i="20"/>
  <c r="I148" i="20"/>
  <c r="J145" i="20"/>
  <c r="J148" i="20"/>
  <c r="H145" i="20"/>
  <c r="H148" i="20"/>
  <c r="J127" i="20"/>
  <c r="J128" i="20"/>
  <c r="I128" i="20"/>
  <c r="H128" i="20"/>
  <c r="I441" i="75" l="1"/>
  <c r="H527" i="75"/>
  <c r="G8" i="75"/>
  <c r="L6" i="75"/>
  <c r="I6" i="75"/>
  <c r="L441" i="75"/>
  <c r="G527" i="75" l="1"/>
  <c r="K271" i="75" s="1"/>
  <c r="L8" i="75"/>
  <c r="I8" i="75"/>
  <c r="J272" i="20"/>
  <c r="I272" i="20"/>
  <c r="H272" i="20"/>
  <c r="K256" i="75" l="1"/>
  <c r="K267" i="75"/>
  <c r="K269" i="75"/>
  <c r="K268" i="75"/>
  <c r="K191" i="75"/>
  <c r="K272" i="75"/>
  <c r="K264" i="75"/>
  <c r="K41" i="75"/>
  <c r="K86" i="75"/>
  <c r="K73" i="75"/>
  <c r="K72" i="75"/>
  <c r="K366" i="75"/>
  <c r="K100" i="75"/>
  <c r="K270" i="75"/>
  <c r="K83" i="75"/>
  <c r="K266" i="75"/>
  <c r="K248" i="75"/>
  <c r="K254" i="75"/>
  <c r="K74" i="75"/>
  <c r="K509" i="75"/>
  <c r="K247" i="75"/>
  <c r="K265" i="75"/>
  <c r="K283" i="75"/>
  <c r="K160" i="75"/>
  <c r="K154" i="75"/>
  <c r="K67" i="75"/>
  <c r="K344" i="75"/>
  <c r="K190" i="75"/>
  <c r="K502" i="75"/>
  <c r="K458" i="75"/>
  <c r="K498" i="75"/>
  <c r="K456" i="75"/>
  <c r="K153" i="75"/>
  <c r="K188" i="75"/>
  <c r="K128" i="75"/>
  <c r="K459" i="75"/>
  <c r="K517" i="75"/>
  <c r="K150" i="75"/>
  <c r="K149" i="75"/>
  <c r="K328" i="75"/>
  <c r="K148" i="75"/>
  <c r="K304" i="75"/>
  <c r="K152" i="75"/>
  <c r="K13" i="75"/>
  <c r="K12" i="75"/>
  <c r="K132" i="75"/>
  <c r="K129" i="75"/>
  <c r="K189" i="75"/>
  <c r="K345" i="75"/>
  <c r="K198" i="75"/>
  <c r="K284" i="75"/>
  <c r="K273" i="75"/>
  <c r="K246" i="75"/>
  <c r="K94" i="75"/>
  <c r="K101" i="75"/>
  <c r="K253" i="75"/>
  <c r="K417" i="75"/>
  <c r="K477" i="75"/>
  <c r="K220" i="75"/>
  <c r="K222" i="75"/>
  <c r="K223" i="75"/>
  <c r="K130" i="75"/>
  <c r="K131" i="75"/>
  <c r="K305" i="75"/>
  <c r="K375" i="75"/>
  <c r="K430" i="75"/>
  <c r="K221" i="75"/>
  <c r="K343" i="75"/>
  <c r="K429" i="75"/>
  <c r="K453" i="75"/>
  <c r="K245" i="75"/>
  <c r="K499" i="75"/>
  <c r="K460" i="75"/>
  <c r="K217" i="75"/>
  <c r="K187" i="75"/>
  <c r="K416" i="75"/>
  <c r="K163" i="75"/>
  <c r="K230" i="75"/>
  <c r="K522" i="75"/>
  <c r="K103" i="75"/>
  <c r="K208" i="75"/>
  <c r="K520" i="75"/>
  <c r="K192" i="75"/>
  <c r="K32" i="75"/>
  <c r="K229" i="75"/>
  <c r="K297" i="75"/>
  <c r="K47" i="75"/>
  <c r="K57" i="75"/>
  <c r="K468" i="75"/>
  <c r="K258" i="75"/>
  <c r="K225" i="75"/>
  <c r="K286" i="75"/>
  <c r="K137" i="75"/>
  <c r="K216" i="75"/>
  <c r="K291" i="75"/>
  <c r="K292" i="75"/>
  <c r="K29" i="75"/>
  <c r="K35" i="75"/>
  <c r="K330" i="75"/>
  <c r="K512" i="75"/>
  <c r="K432" i="75"/>
  <c r="K263" i="75"/>
  <c r="K44" i="75"/>
  <c r="K232" i="75"/>
  <c r="K200" i="75"/>
  <c r="K121" i="75"/>
  <c r="K322" i="75"/>
  <c r="K437" i="75"/>
  <c r="K186" i="75"/>
  <c r="K493" i="75"/>
  <c r="K451" i="75"/>
  <c r="K511" i="75"/>
  <c r="K341" i="75"/>
  <c r="K78" i="75"/>
  <c r="K471" i="75"/>
  <c r="K185" i="75"/>
  <c r="K407" i="75"/>
  <c r="K426" i="75"/>
  <c r="K483" i="75"/>
  <c r="K503" i="75"/>
  <c r="K489" i="75"/>
  <c r="K374" i="75"/>
  <c r="K425" i="75"/>
  <c r="K143" i="75"/>
  <c r="K427" i="75"/>
  <c r="K251" i="75"/>
  <c r="K56" i="75"/>
  <c r="K350" i="75"/>
  <c r="K494" i="75"/>
  <c r="K438" i="75"/>
  <c r="K394" i="75"/>
  <c r="K346" i="75"/>
  <c r="K184" i="75"/>
  <c r="K228" i="75"/>
  <c r="K387" i="75"/>
  <c r="K365" i="75"/>
  <c r="K495" i="75"/>
  <c r="K207" i="75"/>
  <c r="K24" i="75"/>
  <c r="K500" i="75"/>
  <c r="K183" i="75"/>
  <c r="K448" i="75"/>
  <c r="K519" i="75"/>
  <c r="K370" i="75"/>
  <c r="K182" i="75"/>
  <c r="K488" i="75"/>
  <c r="K514" i="75"/>
  <c r="K505" i="75"/>
  <c r="K261" i="75"/>
  <c r="K406" i="75"/>
  <c r="K373" i="75"/>
  <c r="K487" i="75"/>
  <c r="K415" i="75"/>
  <c r="K314" i="75"/>
  <c r="K11" i="75"/>
  <c r="K5" i="75"/>
  <c r="K23" i="75"/>
  <c r="K15" i="75"/>
  <c r="K325" i="75"/>
  <c r="K464" i="75"/>
  <c r="K112" i="75"/>
  <c r="K436" i="75"/>
  <c r="K166" i="75"/>
  <c r="K368" i="75"/>
  <c r="K9" i="75"/>
  <c r="K242" i="75"/>
  <c r="K431" i="75"/>
  <c r="K507" i="75"/>
  <c r="K157" i="75"/>
  <c r="K434" i="75"/>
  <c r="K201" i="75"/>
  <c r="K39" i="75"/>
  <c r="K392" i="75"/>
  <c r="K252" i="75"/>
  <c r="K174" i="75"/>
  <c r="K37" i="75"/>
  <c r="K62" i="75"/>
  <c r="K466" i="75"/>
  <c r="K388" i="75"/>
  <c r="K492" i="75"/>
  <c r="K25" i="75"/>
  <c r="K524" i="75"/>
  <c r="K443" i="75"/>
  <c r="K181" i="75"/>
  <c r="K338" i="75"/>
  <c r="K473" i="75"/>
  <c r="K377" i="75"/>
  <c r="K122" i="75"/>
  <c r="K46" i="75"/>
  <c r="K58" i="75"/>
  <c r="K475" i="75"/>
  <c r="K52" i="75"/>
  <c r="K3" i="75"/>
  <c r="K396" i="75"/>
  <c r="K34" i="75"/>
  <c r="K38" i="75"/>
  <c r="K40" i="75"/>
  <c r="K55" i="75"/>
  <c r="K49" i="75"/>
  <c r="K490" i="75"/>
  <c r="K450" i="75"/>
  <c r="K408" i="75"/>
  <c r="K349" i="75"/>
  <c r="K287" i="75"/>
  <c r="K481" i="75"/>
  <c r="K390" i="75"/>
  <c r="K336" i="75"/>
  <c r="K280" i="75"/>
  <c r="K87" i="75"/>
  <c r="K27" i="75"/>
  <c r="K53" i="75"/>
  <c r="K59" i="75"/>
  <c r="K447" i="75"/>
  <c r="K404" i="75"/>
  <c r="K282" i="75"/>
  <c r="K197" i="75"/>
  <c r="K510" i="75"/>
  <c r="K385" i="75"/>
  <c r="K275" i="75"/>
  <c r="K125" i="75"/>
  <c r="K28" i="75"/>
  <c r="K400" i="75"/>
  <c r="K278" i="75"/>
  <c r="K423" i="75"/>
  <c r="K193" i="75"/>
  <c r="K30" i="75"/>
  <c r="K31" i="75"/>
  <c r="K515" i="75"/>
  <c r="K440" i="75"/>
  <c r="K334" i="75"/>
  <c r="K501" i="75"/>
  <c r="K469" i="75"/>
  <c r="K419" i="75"/>
  <c r="K372" i="75"/>
  <c r="K301" i="75"/>
  <c r="K255" i="75"/>
  <c r="K119" i="75"/>
  <c r="K523" i="75"/>
  <c r="K95" i="75"/>
  <c r="K525" i="75"/>
  <c r="K480" i="75"/>
  <c r="K433" i="75"/>
  <c r="K461" i="75"/>
  <c r="K405" i="75"/>
  <c r="K389" i="75"/>
  <c r="K367" i="75"/>
  <c r="K296" i="75"/>
  <c r="K276" i="75"/>
  <c r="K234" i="75"/>
  <c r="K235" i="75"/>
  <c r="K145" i="75"/>
  <c r="K141" i="75"/>
  <c r="K65" i="75"/>
  <c r="K165" i="75"/>
  <c r="K123" i="75"/>
  <c r="K84" i="75"/>
  <c r="K18" i="75"/>
  <c r="K136" i="75"/>
  <c r="K470" i="75"/>
  <c r="K195" i="75"/>
  <c r="K262" i="75"/>
  <c r="K379" i="75"/>
  <c r="K203" i="75"/>
  <c r="K90" i="75"/>
  <c r="K309" i="75"/>
  <c r="K347" i="75"/>
  <c r="K411" i="75"/>
  <c r="K126" i="75"/>
  <c r="K168" i="75"/>
  <c r="K260" i="75"/>
  <c r="K61" i="75"/>
  <c r="K219" i="75"/>
  <c r="K75" i="75"/>
  <c r="K109" i="75"/>
  <c r="K138" i="75"/>
  <c r="K156" i="75"/>
  <c r="K85" i="75"/>
  <c r="K117" i="75"/>
  <c r="K164" i="75"/>
  <c r="K215" i="75"/>
  <c r="K285" i="75"/>
  <c r="K323" i="75"/>
  <c r="K339" i="75"/>
  <c r="K378" i="75"/>
  <c r="K397" i="75"/>
  <c r="K418" i="75"/>
  <c r="K449" i="75"/>
  <c r="K513" i="75"/>
  <c r="K478" i="75"/>
  <c r="K91" i="75"/>
  <c r="K146" i="75"/>
  <c r="K218" i="75"/>
  <c r="K340" i="75"/>
  <c r="K398" i="75"/>
  <c r="K484" i="75"/>
  <c r="K518" i="75"/>
  <c r="K213" i="75"/>
  <c r="K293" i="75"/>
  <c r="K413" i="75"/>
  <c r="K454" i="75"/>
  <c r="K14" i="75"/>
  <c r="K45" i="75"/>
  <c r="K26" i="75"/>
  <c r="K7" i="75"/>
  <c r="K43" i="75"/>
  <c r="K21" i="75"/>
  <c r="K102" i="75"/>
  <c r="K289" i="75"/>
  <c r="K402" i="75"/>
  <c r="K452" i="75"/>
  <c r="K526" i="75"/>
  <c r="K383" i="75"/>
  <c r="K421" i="75"/>
  <c r="K462" i="75"/>
  <c r="K497" i="75"/>
  <c r="K17" i="75"/>
  <c r="K8" i="75"/>
  <c r="K4" i="75"/>
  <c r="K54" i="75"/>
  <c r="K106" i="75"/>
  <c r="K162" i="75"/>
  <c r="K236" i="75"/>
  <c r="K295" i="75"/>
  <c r="K362" i="75"/>
  <c r="K457" i="75"/>
  <c r="K327" i="75"/>
  <c r="K310" i="75"/>
  <c r="K359" i="75"/>
  <c r="K355" i="75"/>
  <c r="K48" i="75"/>
  <c r="K303" i="75"/>
  <c r="K50" i="75"/>
  <c r="K71" i="75"/>
  <c r="K89" i="75"/>
  <c r="K467" i="75"/>
  <c r="K444" i="75"/>
  <c r="K364" i="75"/>
  <c r="K351" i="75"/>
  <c r="K455" i="75"/>
  <c r="K428" i="75"/>
  <c r="K414" i="75"/>
  <c r="K403" i="75"/>
  <c r="K395" i="75"/>
  <c r="K386" i="75"/>
  <c r="K376" i="75"/>
  <c r="K353" i="75"/>
  <c r="K337" i="75"/>
  <c r="K332" i="75"/>
  <c r="K300" i="75"/>
  <c r="K294" i="75"/>
  <c r="K274" i="75"/>
  <c r="K257" i="75"/>
  <c r="K231" i="75"/>
  <c r="K210" i="75"/>
  <c r="K159" i="75"/>
  <c r="K179" i="75"/>
  <c r="K113" i="75"/>
  <c r="K97" i="75"/>
  <c r="K80" i="75"/>
  <c r="K233" i="75"/>
  <c r="K180" i="75"/>
  <c r="K175" i="75"/>
  <c r="K107" i="75"/>
  <c r="K135" i="75"/>
  <c r="K92" i="75"/>
  <c r="K68" i="75"/>
  <c r="K324" i="75"/>
  <c r="K277" i="75"/>
  <c r="K22" i="75"/>
  <c r="K326" i="75"/>
  <c r="K446" i="75"/>
  <c r="K204" i="75"/>
  <c r="K342" i="75"/>
  <c r="K306" i="75"/>
  <c r="K360" i="75"/>
  <c r="K321" i="75"/>
  <c r="K10" i="75"/>
  <c r="K167" i="75"/>
  <c r="K20" i="75"/>
  <c r="K318" i="75"/>
  <c r="K479" i="75"/>
  <c r="K508" i="75"/>
  <c r="K485" i="75"/>
  <c r="K465" i="75"/>
  <c r="K439" i="75"/>
  <c r="K412" i="75"/>
  <c r="K371" i="75"/>
  <c r="K298" i="75"/>
  <c r="K393" i="75"/>
  <c r="K335" i="75"/>
  <c r="K281" i="75"/>
  <c r="K241" i="75"/>
  <c r="K155" i="75"/>
  <c r="K108" i="75"/>
  <c r="K76" i="75"/>
  <c r="K239" i="75"/>
  <c r="K227" i="75"/>
  <c r="K196" i="75"/>
  <c r="K173" i="75"/>
  <c r="K151" i="75"/>
  <c r="K133" i="75"/>
  <c r="K105" i="75"/>
  <c r="K88" i="75"/>
  <c r="K66" i="75"/>
  <c r="K486" i="75"/>
  <c r="K352" i="75"/>
  <c r="K214" i="75"/>
  <c r="K361" i="75"/>
  <c r="K311" i="75"/>
  <c r="K316" i="75"/>
  <c r="K19" i="75"/>
  <c r="K111" i="75"/>
  <c r="K317" i="75"/>
  <c r="K331" i="75"/>
  <c r="K115" i="75"/>
  <c r="K82" i="75"/>
  <c r="K474" i="75"/>
  <c r="K420" i="75"/>
  <c r="K399" i="75"/>
  <c r="K382" i="75"/>
  <c r="K288" i="75"/>
  <c r="K118" i="75"/>
  <c r="K81" i="75"/>
  <c r="K16" i="75"/>
  <c r="K409" i="75"/>
  <c r="K147" i="75"/>
  <c r="K63" i="75"/>
  <c r="K244" i="75"/>
  <c r="K380" i="75"/>
  <c r="K315" i="75"/>
  <c r="K302" i="75"/>
  <c r="K312" i="75"/>
  <c r="K120" i="75"/>
  <c r="K51" i="75"/>
  <c r="K250" i="75"/>
  <c r="K516" i="75"/>
  <c r="K496" i="75"/>
  <c r="K476" i="75"/>
  <c r="K422" i="75"/>
  <c r="K401" i="75"/>
  <c r="K384" i="75"/>
  <c r="K348" i="75"/>
  <c r="K290" i="75"/>
  <c r="K259" i="75"/>
  <c r="K176" i="75"/>
  <c r="K93" i="75"/>
  <c r="K209" i="75"/>
  <c r="K178" i="75"/>
  <c r="K161" i="75"/>
  <c r="K142" i="75"/>
  <c r="K116" i="75"/>
  <c r="K98" i="75"/>
  <c r="K79" i="75"/>
  <c r="K33" i="75"/>
  <c r="K169" i="75"/>
  <c r="K134" i="75"/>
  <c r="K299" i="75"/>
  <c r="K506" i="75"/>
  <c r="K205" i="75"/>
  <c r="K381" i="75"/>
  <c r="K313" i="75"/>
  <c r="K329" i="75"/>
  <c r="K491" i="75"/>
  <c r="K249" i="75"/>
  <c r="K358" i="75"/>
  <c r="K70" i="75"/>
  <c r="K472" i="75"/>
  <c r="K442" i="75"/>
  <c r="K139" i="75"/>
  <c r="K99" i="75"/>
  <c r="K527" i="75"/>
  <c r="K504" i="75"/>
  <c r="K482" i="75"/>
  <c r="K463" i="75"/>
  <c r="K435" i="75"/>
  <c r="K391" i="75"/>
  <c r="K369" i="75"/>
  <c r="K333" i="75"/>
  <c r="K279" i="75"/>
  <c r="K238" i="75"/>
  <c r="K226" i="75"/>
  <c r="K202" i="75"/>
  <c r="K172" i="75"/>
  <c r="K144" i="75"/>
  <c r="K124" i="75"/>
  <c r="K104" i="75"/>
  <c r="K69" i="75"/>
  <c r="K243" i="75"/>
  <c r="K237" i="75"/>
  <c r="K224" i="75"/>
  <c r="K194" i="75"/>
  <c r="K177" i="75"/>
  <c r="K171" i="75"/>
  <c r="K158" i="75"/>
  <c r="K140" i="75"/>
  <c r="K127" i="75"/>
  <c r="K114" i="75"/>
  <c r="K96" i="75"/>
  <c r="K77" i="75"/>
  <c r="K64" i="75"/>
  <c r="K170" i="75"/>
  <c r="K424" i="75"/>
  <c r="K60" i="75"/>
  <c r="K354" i="75"/>
  <c r="K199" i="75"/>
  <c r="K240" i="75"/>
  <c r="K410" i="75"/>
  <c r="K319" i="75"/>
  <c r="K356" i="75"/>
  <c r="K357" i="75"/>
  <c r="K363" i="75"/>
  <c r="K521" i="75"/>
  <c r="K445" i="75"/>
  <c r="K320" i="75"/>
  <c r="K212" i="75"/>
  <c r="K42" i="75"/>
  <c r="K36" i="75"/>
  <c r="L527" i="75"/>
  <c r="I527" i="75"/>
  <c r="K441" i="75"/>
  <c r="K308" i="75"/>
  <c r="K307" i="75"/>
  <c r="K110" i="75"/>
  <c r="K211" i="75"/>
  <c r="K206" i="75"/>
  <c r="K6" i="75"/>
  <c r="J366" i="20"/>
  <c r="I366" i="20"/>
  <c r="H366" i="20"/>
  <c r="J161" i="20" l="1"/>
  <c r="I161" i="20"/>
  <c r="H161" i="20"/>
  <c r="J159" i="20"/>
  <c r="I159" i="20"/>
  <c r="H159" i="20"/>
  <c r="J158" i="20" l="1"/>
  <c r="I158" i="20"/>
  <c r="H158" i="20"/>
  <c r="J204" i="20" l="1"/>
  <c r="I204" i="20"/>
  <c r="H204" i="20"/>
  <c r="J235" i="20"/>
  <c r="I235" i="20"/>
  <c r="H235" i="20"/>
  <c r="J96" i="20" l="1"/>
  <c r="I96" i="20"/>
  <c r="H96" i="20"/>
  <c r="J234" i="20" l="1"/>
  <c r="I234" i="20"/>
  <c r="H234" i="20"/>
  <c r="J244" i="20"/>
  <c r="I244" i="20"/>
  <c r="H244" i="20"/>
  <c r="H236" i="20"/>
  <c r="I236" i="20"/>
  <c r="J236" i="20"/>
  <c r="J243" i="20" l="1"/>
  <c r="I243" i="20"/>
  <c r="H243" i="20"/>
  <c r="J257" i="20" l="1"/>
  <c r="I257" i="20"/>
  <c r="H257" i="20"/>
  <c r="J387" i="20" l="1"/>
  <c r="I387" i="20"/>
  <c r="H387" i="20"/>
  <c r="J524" i="20" l="1"/>
  <c r="I524" i="20"/>
  <c r="H524" i="20"/>
  <c r="H525" i="20"/>
  <c r="J237" i="20" l="1"/>
  <c r="I237" i="20"/>
  <c r="H237" i="20"/>
  <c r="J274" i="20" l="1"/>
  <c r="I274" i="20"/>
  <c r="H274" i="20"/>
  <c r="J89" i="20" l="1"/>
  <c r="I89" i="20"/>
  <c r="H89" i="20"/>
  <c r="J549" i="20" l="1"/>
  <c r="I549" i="20"/>
  <c r="H549" i="20"/>
  <c r="J551" i="20" l="1"/>
  <c r="I551" i="20"/>
  <c r="H551" i="20"/>
  <c r="J103" i="20" l="1"/>
  <c r="I103" i="20"/>
  <c r="H103" i="20"/>
  <c r="J372" i="20"/>
  <c r="I372" i="20"/>
  <c r="H372" i="20"/>
  <c r="J267" i="20" l="1"/>
  <c r="I267" i="20"/>
  <c r="H267" i="20"/>
  <c r="J464" i="20" l="1"/>
  <c r="I464" i="20"/>
  <c r="H464" i="20"/>
  <c r="J269" i="20" l="1"/>
  <c r="I269" i="20"/>
  <c r="H269" i="20"/>
  <c r="J200" i="20" l="1"/>
  <c r="I200" i="20"/>
  <c r="H200" i="20"/>
  <c r="J557" i="20" l="1"/>
  <c r="I557" i="20"/>
  <c r="H557" i="20"/>
  <c r="J80" i="20" l="1"/>
  <c r="I80" i="20"/>
  <c r="H80" i="20"/>
  <c r="J226" i="20" l="1"/>
  <c r="I226" i="20"/>
  <c r="H226" i="20"/>
  <c r="J209" i="20"/>
  <c r="I209" i="20"/>
  <c r="H209" i="20"/>
  <c r="J254" i="20" l="1"/>
  <c r="I254" i="20"/>
  <c r="H254" i="20"/>
  <c r="J208" i="20"/>
  <c r="H208" i="20"/>
  <c r="J214" i="20" l="1"/>
  <c r="I214" i="20"/>
  <c r="H214" i="20"/>
  <c r="J242" i="20" l="1"/>
  <c r="I242" i="20"/>
  <c r="H242" i="20"/>
  <c r="J212" i="20" l="1"/>
  <c r="I212" i="20"/>
  <c r="H212" i="20"/>
  <c r="J386" i="20"/>
  <c r="I386" i="20"/>
  <c r="H386" i="20"/>
  <c r="J502" i="20" l="1"/>
  <c r="I502" i="20"/>
  <c r="H502" i="20"/>
  <c r="J503" i="20"/>
  <c r="I503" i="20"/>
  <c r="H503" i="20"/>
  <c r="J217" i="20"/>
  <c r="I217" i="20"/>
  <c r="H217" i="20"/>
  <c r="J284" i="20" l="1"/>
  <c r="J285" i="20"/>
  <c r="J286" i="20"/>
  <c r="J287" i="20"/>
  <c r="I284" i="20"/>
  <c r="I285" i="20"/>
  <c r="J570" i="20" l="1"/>
  <c r="I570" i="20"/>
  <c r="H570" i="20"/>
  <c r="J177" i="20" l="1"/>
  <c r="I177" i="20"/>
  <c r="H177" i="20"/>
  <c r="J363" i="20" l="1"/>
  <c r="I363" i="20"/>
  <c r="H363" i="20"/>
  <c r="J540" i="20" l="1"/>
  <c r="J541" i="20"/>
  <c r="I540" i="20"/>
  <c r="I541" i="20"/>
  <c r="H540" i="20"/>
  <c r="H541" i="20"/>
  <c r="H510" i="20" l="1"/>
  <c r="J507" i="20"/>
  <c r="I507" i="20"/>
  <c r="H507" i="20"/>
  <c r="E67" i="71" l="1"/>
  <c r="E58" i="71"/>
  <c r="E57" i="71"/>
  <c r="E56" i="71"/>
  <c r="E55" i="71"/>
  <c r="E54" i="71"/>
  <c r="E53" i="71"/>
  <c r="E52" i="71"/>
  <c r="E51" i="71"/>
  <c r="E50" i="71"/>
  <c r="E49" i="71"/>
  <c r="C54" i="71"/>
  <c r="D67" i="71"/>
  <c r="D50" i="71"/>
  <c r="C50" i="71"/>
  <c r="D49" i="71"/>
  <c r="C52" i="71"/>
  <c r="C53" i="71"/>
  <c r="D54" i="71"/>
  <c r="C56" i="71"/>
  <c r="D57" i="71"/>
  <c r="C57" i="71"/>
  <c r="D56" i="71"/>
  <c r="C67" i="71"/>
  <c r="C58" i="71"/>
  <c r="C51" i="71"/>
  <c r="D55" i="71"/>
  <c r="C55" i="71"/>
  <c r="D58" i="71"/>
  <c r="D52" i="71"/>
  <c r="D53" i="71"/>
  <c r="D51" i="71"/>
  <c r="J273" i="20" l="1"/>
  <c r="I273" i="20"/>
  <c r="H273" i="20"/>
  <c r="E322" i="20" l="1"/>
  <c r="F400" i="20" s="1"/>
  <c r="D322" i="20"/>
  <c r="C322" i="20"/>
  <c r="F377" i="20" l="1"/>
  <c r="F396" i="20"/>
  <c r="F395" i="20"/>
  <c r="F398" i="20"/>
  <c r="F394" i="20"/>
  <c r="F401" i="20"/>
  <c r="F379" i="20"/>
  <c r="F399" i="20"/>
  <c r="F385" i="20"/>
  <c r="F397" i="20"/>
  <c r="F393" i="20"/>
  <c r="F378" i="20"/>
  <c r="F376" i="20"/>
  <c r="F327" i="20"/>
  <c r="F384" i="20"/>
  <c r="F402" i="20"/>
  <c r="F339" i="20"/>
  <c r="F336" i="20"/>
  <c r="F358" i="20"/>
  <c r="F356" i="20"/>
  <c r="F349" i="20"/>
  <c r="F375" i="20"/>
  <c r="F359" i="20"/>
  <c r="F357" i="20"/>
  <c r="F341" i="20"/>
  <c r="F361" i="20"/>
  <c r="F335" i="20"/>
  <c r="F332" i="20"/>
  <c r="F329" i="20"/>
  <c r="F392" i="20"/>
  <c r="F362" i="20"/>
  <c r="F382" i="20"/>
  <c r="F355" i="20"/>
  <c r="F340" i="20"/>
  <c r="F390" i="20"/>
  <c r="F338" i="20"/>
  <c r="F344" i="20"/>
  <c r="F381" i="20"/>
  <c r="F345" i="20"/>
  <c r="F364" i="20"/>
  <c r="F380" i="20"/>
  <c r="F347" i="20"/>
  <c r="F334" i="20"/>
  <c r="F370" i="20"/>
  <c r="F374" i="20"/>
  <c r="F337" i="20"/>
  <c r="F333" i="20"/>
  <c r="F328" i="20"/>
  <c r="F391" i="20"/>
  <c r="F324" i="20"/>
  <c r="F354" i="20"/>
  <c r="F331" i="20"/>
  <c r="F389" i="20"/>
  <c r="F351" i="20"/>
  <c r="F360" i="20"/>
  <c r="F365" i="20"/>
  <c r="F369" i="20"/>
  <c r="F388" i="20"/>
  <c r="F366" i="20"/>
  <c r="F387" i="20"/>
  <c r="F372" i="20"/>
  <c r="F386" i="20"/>
  <c r="F363" i="20"/>
  <c r="J97" i="20" l="1"/>
  <c r="I97" i="20"/>
  <c r="H97" i="20"/>
  <c r="J417" i="20"/>
  <c r="I417" i="20"/>
  <c r="H417" i="20"/>
  <c r="J326" i="20"/>
  <c r="I326" i="20"/>
  <c r="H326" i="20"/>
  <c r="J571" i="20" l="1"/>
  <c r="I571" i="20"/>
  <c r="H571" i="20"/>
  <c r="J241" i="20" l="1"/>
  <c r="I241" i="20"/>
  <c r="H241" i="20"/>
  <c r="J325" i="20" l="1"/>
  <c r="I325" i="20"/>
  <c r="H325" i="20"/>
  <c r="J170" i="20" l="1"/>
  <c r="I170" i="20"/>
  <c r="H170" i="20"/>
  <c r="J561" i="20" l="1"/>
  <c r="I561" i="20"/>
  <c r="H561" i="20"/>
  <c r="J169" i="20" l="1"/>
  <c r="I169" i="20"/>
  <c r="H169" i="20"/>
  <c r="G322" i="20" l="1"/>
  <c r="D406" i="20"/>
  <c r="E406" i="20"/>
  <c r="G406" i="20"/>
  <c r="C406" i="20"/>
  <c r="F441" i="20" l="1"/>
  <c r="F413" i="20"/>
  <c r="F414" i="20"/>
  <c r="F422" i="20"/>
  <c r="F428" i="20"/>
  <c r="F433" i="20"/>
  <c r="F442" i="20"/>
  <c r="F426" i="20"/>
  <c r="F443" i="20"/>
  <c r="F418" i="20"/>
  <c r="F419" i="20"/>
  <c r="F440" i="20"/>
  <c r="F432" i="20"/>
  <c r="F436" i="20"/>
  <c r="F434" i="20"/>
  <c r="F437" i="20"/>
  <c r="F435" i="20"/>
  <c r="F430" i="20"/>
  <c r="F408" i="20"/>
  <c r="F427" i="20"/>
  <c r="F438" i="20"/>
  <c r="F409" i="20"/>
  <c r="F410" i="20"/>
  <c r="F439" i="20"/>
  <c r="F412" i="20"/>
  <c r="F425" i="20"/>
  <c r="F417" i="20"/>
  <c r="F326" i="20"/>
  <c r="F325" i="20"/>
  <c r="I406" i="20"/>
  <c r="J293" i="20"/>
  <c r="I293" i="20"/>
  <c r="H293" i="20"/>
  <c r="J368" i="20" l="1"/>
  <c r="I368" i="20"/>
  <c r="H368" i="20"/>
  <c r="J367" i="20"/>
  <c r="I367" i="20"/>
  <c r="H367" i="20"/>
  <c r="J125" i="20" l="1"/>
  <c r="I125" i="20"/>
  <c r="I127" i="20"/>
  <c r="H125" i="20"/>
  <c r="J167" i="20" l="1"/>
  <c r="I167" i="20"/>
  <c r="H167" i="20"/>
  <c r="J420" i="20" l="1"/>
  <c r="I420" i="20"/>
  <c r="H420" i="20"/>
  <c r="J122" i="20" l="1"/>
  <c r="I122" i="20"/>
  <c r="H122" i="20"/>
  <c r="J162" i="20" l="1"/>
  <c r="I162" i="20"/>
  <c r="H162" i="20"/>
  <c r="J468" i="20" l="1"/>
  <c r="I468" i="20"/>
  <c r="H468" i="20"/>
  <c r="J462" i="20"/>
  <c r="I462" i="20"/>
  <c r="H462" i="20"/>
  <c r="H542" i="20" l="1"/>
  <c r="J233" i="20" l="1"/>
  <c r="I233" i="20"/>
  <c r="H233" i="20"/>
  <c r="C2" i="26" l="1"/>
  <c r="J568" i="20" l="1"/>
  <c r="I568" i="20"/>
  <c r="H568" i="20"/>
  <c r="J232" i="20" l="1"/>
  <c r="I232" i="20"/>
  <c r="H232" i="20"/>
  <c r="J569" i="20" l="1"/>
  <c r="I569" i="20"/>
  <c r="H569" i="20"/>
  <c r="J423" i="20" l="1"/>
  <c r="I423" i="20"/>
  <c r="H423" i="20"/>
  <c r="H127" i="20" l="1"/>
  <c r="J429" i="20" l="1"/>
  <c r="I429" i="20"/>
  <c r="H429" i="20"/>
  <c r="J416" i="20" l="1"/>
  <c r="I416" i="20"/>
  <c r="H416" i="20"/>
  <c r="J415" i="20" l="1"/>
  <c r="I415" i="20"/>
  <c r="H415" i="20"/>
  <c r="J421" i="20"/>
  <c r="I421" i="20"/>
  <c r="H421" i="20"/>
  <c r="H323" i="20" l="1"/>
  <c r="I323" i="20"/>
  <c r="J323" i="20"/>
  <c r="J42" i="20" l="1"/>
  <c r="I42" i="20"/>
  <c r="H42" i="20"/>
  <c r="F42" i="20"/>
  <c r="J41" i="20"/>
  <c r="I41" i="20"/>
  <c r="H41" i="20"/>
  <c r="F41" i="20"/>
  <c r="J37" i="20"/>
  <c r="I37" i="20"/>
  <c r="H37" i="20"/>
  <c r="F37" i="20"/>
  <c r="J211" i="20" l="1"/>
  <c r="I211" i="20"/>
  <c r="H211" i="20"/>
  <c r="J163" i="20" l="1"/>
  <c r="J164" i="20"/>
  <c r="I163" i="20"/>
  <c r="I164" i="20"/>
  <c r="H163" i="20"/>
  <c r="H164" i="20"/>
  <c r="I350" i="20"/>
  <c r="I352" i="20"/>
  <c r="I353" i="20"/>
  <c r="J350" i="20"/>
  <c r="J352" i="20"/>
  <c r="J353" i="20"/>
  <c r="J348" i="20"/>
  <c r="I348" i="20"/>
  <c r="H348" i="20"/>
  <c r="H350" i="20"/>
  <c r="J301" i="20"/>
  <c r="I301" i="20"/>
  <c r="H301" i="20"/>
  <c r="H302" i="20"/>
  <c r="J266" i="20"/>
  <c r="J268" i="20"/>
  <c r="I268" i="20"/>
  <c r="H268" i="20"/>
  <c r="J230" i="20"/>
  <c r="I230" i="20"/>
  <c r="H230" i="20"/>
  <c r="J40" i="20" l="1"/>
  <c r="I40" i="20"/>
  <c r="H40" i="20"/>
  <c r="F40" i="20"/>
  <c r="J47" i="20" l="1"/>
  <c r="I47" i="20"/>
  <c r="H47" i="20"/>
  <c r="F47" i="20"/>
  <c r="J35" i="20" l="1"/>
  <c r="I35" i="20"/>
  <c r="H35" i="20"/>
  <c r="F35" i="20"/>
  <c r="J36" i="20" l="1"/>
  <c r="I36" i="20"/>
  <c r="H36" i="20"/>
  <c r="F36" i="20"/>
  <c r="J34" i="20"/>
  <c r="I34" i="20"/>
  <c r="H34" i="20"/>
  <c r="F34" i="20"/>
  <c r="J530" i="20" l="1"/>
  <c r="I530" i="20"/>
  <c r="H530" i="20"/>
  <c r="J383" i="20" l="1"/>
  <c r="I383" i="20"/>
  <c r="H383" i="20"/>
  <c r="J373" i="20"/>
  <c r="I373" i="20"/>
  <c r="H373" i="20"/>
  <c r="J371" i="20"/>
  <c r="I371" i="20"/>
  <c r="H371" i="20"/>
  <c r="H352" i="20"/>
  <c r="J303" i="20"/>
  <c r="I303" i="20"/>
  <c r="H303" i="20"/>
  <c r="J302" i="20"/>
  <c r="I302" i="20"/>
  <c r="J291" i="20"/>
  <c r="I291" i="20"/>
  <c r="H291" i="20"/>
  <c r="J289" i="20"/>
  <c r="I289" i="20"/>
  <c r="H289" i="20"/>
  <c r="J288" i="20"/>
  <c r="I288" i="20"/>
  <c r="H288" i="20"/>
  <c r="J240" i="20"/>
  <c r="I240" i="20"/>
  <c r="H240" i="20"/>
  <c r="J239" i="20"/>
  <c r="I239" i="20"/>
  <c r="H239" i="20"/>
  <c r="J225" i="20"/>
  <c r="I225" i="20"/>
  <c r="H225" i="20"/>
  <c r="J224" i="20"/>
  <c r="I224" i="20"/>
  <c r="H224" i="20"/>
  <c r="J223" i="20"/>
  <c r="I223" i="20"/>
  <c r="H223" i="20"/>
  <c r="J221" i="20"/>
  <c r="I221" i="20"/>
  <c r="H221" i="20"/>
  <c r="J65" i="20" l="1"/>
  <c r="I65" i="20"/>
  <c r="H65" i="20"/>
  <c r="J424" i="20"/>
  <c r="I424" i="20"/>
  <c r="H424" i="20"/>
  <c r="J157" i="20" l="1"/>
  <c r="I157" i="20"/>
  <c r="H157" i="20"/>
  <c r="J67" i="20"/>
  <c r="I67" i="20"/>
  <c r="H67" i="20"/>
  <c r="J75" i="20" l="1"/>
  <c r="I75" i="20"/>
  <c r="H75" i="20"/>
  <c r="J407" i="20"/>
  <c r="I407" i="20"/>
  <c r="H407" i="20"/>
  <c r="F420" i="20" l="1"/>
  <c r="F429" i="20"/>
  <c r="F423" i="20"/>
  <c r="F416" i="20"/>
  <c r="F421" i="20"/>
  <c r="F415" i="20"/>
  <c r="F424" i="20"/>
  <c r="F407" i="20"/>
  <c r="H210" i="20" l="1"/>
  <c r="I210" i="20"/>
  <c r="J210" i="20"/>
  <c r="J448" i="20"/>
  <c r="I448" i="20"/>
  <c r="H448" i="20"/>
  <c r="H285" i="20" l="1"/>
  <c r="J567" i="20" l="1"/>
  <c r="I567" i="20"/>
  <c r="H567" i="20"/>
  <c r="J39" i="20" l="1"/>
  <c r="I39" i="20"/>
  <c r="H39" i="20"/>
  <c r="F39" i="20"/>
  <c r="H353" i="20" l="1"/>
  <c r="J411" i="20" l="1"/>
  <c r="I411" i="20"/>
  <c r="H411" i="20"/>
  <c r="J94" i="20" l="1"/>
  <c r="I92" i="20"/>
  <c r="I94" i="20"/>
  <c r="C55" i="20" l="1"/>
  <c r="D55" i="20"/>
  <c r="E55" i="20"/>
  <c r="G55" i="20"/>
  <c r="J138" i="20"/>
  <c r="I138" i="20"/>
  <c r="H138" i="20"/>
  <c r="F72" i="20" l="1"/>
  <c r="F121" i="20"/>
  <c r="F70" i="20"/>
  <c r="F113" i="20"/>
  <c r="F133" i="20"/>
  <c r="F116" i="20"/>
  <c r="F99" i="20"/>
  <c r="F129" i="20"/>
  <c r="F61" i="20"/>
  <c r="F117" i="20"/>
  <c r="F132" i="20"/>
  <c r="F137" i="20"/>
  <c r="F136" i="20"/>
  <c r="F81" i="20"/>
  <c r="F124" i="20"/>
  <c r="F66" i="20"/>
  <c r="F114" i="20"/>
  <c r="F83" i="20"/>
  <c r="F102" i="20"/>
  <c r="F95" i="20"/>
  <c r="F107" i="20"/>
  <c r="F106" i="20"/>
  <c r="F108" i="20"/>
  <c r="F131" i="20"/>
  <c r="F111" i="20"/>
  <c r="F112" i="20"/>
  <c r="F101" i="20"/>
  <c r="F63" i="20"/>
  <c r="F126" i="20"/>
  <c r="F118" i="20"/>
  <c r="F100" i="20"/>
  <c r="F56" i="20"/>
  <c r="F84" i="20"/>
  <c r="F91" i="20"/>
  <c r="F134" i="20"/>
  <c r="F58" i="20"/>
  <c r="F59" i="20"/>
  <c r="F104" i="20"/>
  <c r="F130" i="20"/>
  <c r="F135" i="20"/>
  <c r="F60" i="20"/>
  <c r="F98" i="20"/>
  <c r="F119" i="20"/>
  <c r="F82" i="20"/>
  <c r="F77" i="20"/>
  <c r="F93" i="20"/>
  <c r="F120" i="20"/>
  <c r="F71" i="20"/>
  <c r="F87" i="20"/>
  <c r="F57" i="20"/>
  <c r="F68" i="20"/>
  <c r="F69" i="20"/>
  <c r="F74" i="20"/>
  <c r="F115" i="20"/>
  <c r="F105" i="20"/>
  <c r="F109" i="20"/>
  <c r="F110" i="20"/>
  <c r="F128" i="20"/>
  <c r="F96" i="20"/>
  <c r="F89" i="20"/>
  <c r="F103" i="20"/>
  <c r="F80" i="20"/>
  <c r="F97" i="20"/>
  <c r="F125" i="20"/>
  <c r="F122" i="20"/>
  <c r="F127" i="20"/>
  <c r="F67" i="20"/>
  <c r="F65" i="20"/>
  <c r="F75" i="20"/>
  <c r="F94" i="20"/>
  <c r="J79" i="20" l="1"/>
  <c r="I79" i="20"/>
  <c r="H79" i="20"/>
  <c r="J92" i="20" l="1"/>
  <c r="H94" i="20"/>
  <c r="H92" i="20"/>
  <c r="J90" i="20"/>
  <c r="I90" i="20"/>
  <c r="H90" i="20"/>
  <c r="J76" i="20"/>
  <c r="J78" i="20"/>
  <c r="I76" i="20"/>
  <c r="I78" i="20"/>
  <c r="H78" i="20"/>
  <c r="H76" i="20"/>
  <c r="J123" i="20" l="1"/>
  <c r="I123" i="20"/>
  <c r="H123" i="20"/>
  <c r="J88" i="20"/>
  <c r="I88" i="20"/>
  <c r="H88" i="20"/>
  <c r="J86" i="20"/>
  <c r="I86" i="20"/>
  <c r="H86" i="20"/>
  <c r="I287" i="20" l="1"/>
  <c r="H287" i="20"/>
  <c r="I286" i="20" l="1"/>
  <c r="H286" i="20"/>
  <c r="J85" i="20" l="1"/>
  <c r="I85" i="20"/>
  <c r="H85" i="20"/>
  <c r="J64" i="20" l="1"/>
  <c r="I64" i="20"/>
  <c r="H64" i="20"/>
  <c r="F138" i="20" l="1"/>
  <c r="F79" i="20"/>
  <c r="F90" i="20"/>
  <c r="F92" i="20"/>
  <c r="F85" i="20"/>
  <c r="F76" i="20"/>
  <c r="F78" i="20"/>
  <c r="F123" i="20"/>
  <c r="F88" i="20"/>
  <c r="F86" i="20"/>
  <c r="F64" i="20"/>
  <c r="J62" i="20" l="1"/>
  <c r="J73" i="20"/>
  <c r="I62" i="20"/>
  <c r="I73" i="20"/>
  <c r="H62" i="20"/>
  <c r="H73" i="20"/>
  <c r="F73" i="20" l="1"/>
  <c r="F62" i="20"/>
  <c r="F55" i="20" l="1"/>
  <c r="H258" i="20" l="1"/>
  <c r="I258" i="20"/>
  <c r="J258" i="20"/>
  <c r="J256" i="20" l="1"/>
  <c r="I256" i="20"/>
  <c r="H256" i="20"/>
  <c r="F16" i="71" l="1"/>
  <c r="D16" i="71"/>
  <c r="C16" i="71"/>
  <c r="G16" i="71" l="1"/>
  <c r="E459" i="20"/>
  <c r="G459" i="20"/>
  <c r="D459" i="20"/>
  <c r="C459" i="20"/>
  <c r="F499" i="20" l="1"/>
  <c r="F520" i="20"/>
  <c r="F566" i="20"/>
  <c r="F498" i="20"/>
  <c r="F579" i="20"/>
  <c r="F528" i="20"/>
  <c r="F578" i="20"/>
  <c r="F565" i="20"/>
  <c r="F577" i="20"/>
  <c r="F497" i="20"/>
  <c r="F580" i="20"/>
  <c r="F484" i="20"/>
  <c r="F575" i="20"/>
  <c r="F496" i="20"/>
  <c r="F527" i="20"/>
  <c r="F556" i="20"/>
  <c r="F576" i="20"/>
  <c r="F574" i="20"/>
  <c r="F543" i="20"/>
  <c r="F504" i="20"/>
  <c r="F500" i="20"/>
  <c r="F573" i="20"/>
  <c r="F521" i="20"/>
  <c r="F539" i="20"/>
  <c r="F555" i="20"/>
  <c r="F523" i="20"/>
  <c r="F564" i="20"/>
  <c r="F526" i="20"/>
  <c r="F519" i="20"/>
  <c r="F505" i="20"/>
  <c r="F482" i="20"/>
  <c r="F513" i="20"/>
  <c r="F517" i="20"/>
  <c r="F460" i="20"/>
  <c r="F483" i="20"/>
  <c r="F509" i="20"/>
  <c r="F475" i="20"/>
  <c r="F479" i="20"/>
  <c r="F470" i="20"/>
  <c r="F514" i="20"/>
  <c r="F512" i="20"/>
  <c r="F515" i="20"/>
  <c r="F511" i="20"/>
  <c r="F486" i="20"/>
  <c r="F485" i="20"/>
  <c r="F481" i="20"/>
  <c r="F480" i="20"/>
  <c r="F478" i="20"/>
  <c r="F477" i="20"/>
  <c r="F476" i="20"/>
  <c r="F474" i="20"/>
  <c r="F473" i="20"/>
  <c r="F472" i="20"/>
  <c r="F471" i="20"/>
  <c r="F516" i="20"/>
  <c r="F501" i="20"/>
  <c r="F531" i="20"/>
  <c r="F495" i="20"/>
  <c r="F560" i="20"/>
  <c r="F559" i="20"/>
  <c r="F506" i="20"/>
  <c r="F558" i="20"/>
  <c r="F508" i="20"/>
  <c r="F581" i="20"/>
  <c r="F518" i="20"/>
  <c r="F536" i="20"/>
  <c r="F467" i="20"/>
  <c r="F491" i="20"/>
  <c r="F537" i="20"/>
  <c r="F493" i="20"/>
  <c r="F522" i="20"/>
  <c r="F487" i="20"/>
  <c r="F488" i="20"/>
  <c r="F533" i="20"/>
  <c r="F461" i="20"/>
  <c r="F463" i="20"/>
  <c r="F552" i="20"/>
  <c r="F553" i="20"/>
  <c r="F562" i="20"/>
  <c r="F554" i="20"/>
  <c r="F535" i="20"/>
  <c r="F538" i="20"/>
  <c r="F572" i="20"/>
  <c r="F524" i="20"/>
  <c r="F551" i="20"/>
  <c r="F549" i="20"/>
  <c r="F557" i="20"/>
  <c r="F464" i="20"/>
  <c r="F503" i="20"/>
  <c r="F502" i="20"/>
  <c r="F570" i="20"/>
  <c r="F540" i="20"/>
  <c r="F541" i="20"/>
  <c r="F510" i="20"/>
  <c r="F507" i="20"/>
  <c r="F571" i="20"/>
  <c r="F561" i="20"/>
  <c r="F542" i="20"/>
  <c r="F468" i="20"/>
  <c r="F462" i="20"/>
  <c r="F569" i="20"/>
  <c r="F568" i="20"/>
  <c r="F530" i="20"/>
  <c r="F567" i="20"/>
  <c r="F51" i="20" l="1"/>
  <c r="F43" i="20"/>
  <c r="F44" i="20"/>
  <c r="F46" i="20"/>
  <c r="F48" i="20"/>
  <c r="F49" i="20"/>
  <c r="F50" i="20"/>
  <c r="F33" i="20"/>
  <c r="B4" i="26"/>
  <c r="D2" i="26"/>
  <c r="F15" i="71" l="1"/>
  <c r="E28" i="71"/>
  <c r="E27" i="71"/>
  <c r="E26" i="71"/>
  <c r="E25" i="71"/>
  <c r="E24" i="71"/>
  <c r="E23" i="71"/>
  <c r="E22" i="71"/>
  <c r="C15" i="71"/>
  <c r="D15" i="71"/>
  <c r="C25" i="71"/>
  <c r="C22" i="71"/>
  <c r="C28" i="71"/>
  <c r="C27" i="71"/>
  <c r="C26" i="71"/>
  <c r="C24" i="71"/>
  <c r="C23" i="71"/>
  <c r="F4" i="71"/>
  <c r="F17" i="71"/>
  <c r="F14" i="71"/>
  <c r="F13" i="71"/>
  <c r="F12" i="71"/>
  <c r="F11" i="71"/>
  <c r="F10" i="71"/>
  <c r="F9" i="71"/>
  <c r="F8" i="71"/>
  <c r="F7" i="71"/>
  <c r="F6" i="71"/>
  <c r="F5" i="71"/>
  <c r="C17" i="71"/>
  <c r="C14" i="71"/>
  <c r="C13" i="71"/>
  <c r="C12" i="71"/>
  <c r="C11" i="71"/>
  <c r="C10" i="71"/>
  <c r="C9" i="71"/>
  <c r="C8" i="71"/>
  <c r="C7" i="71"/>
  <c r="C6" i="71"/>
  <c r="C5" i="71"/>
  <c r="C4" i="71"/>
  <c r="D17" i="71"/>
  <c r="D14" i="71"/>
  <c r="D13" i="71"/>
  <c r="D12" i="71"/>
  <c r="D11" i="71"/>
  <c r="D10" i="71"/>
  <c r="D9" i="71"/>
  <c r="D8" i="71"/>
  <c r="D7" i="71"/>
  <c r="D6" i="71"/>
  <c r="D5" i="71"/>
  <c r="D4" i="71"/>
  <c r="G10" i="71" l="1"/>
  <c r="I193" i="20"/>
  <c r="J193" i="20"/>
  <c r="H193" i="20"/>
  <c r="F45" i="71" l="1"/>
  <c r="E45" i="71"/>
  <c r="D45" i="71" l="1"/>
  <c r="C45" i="71"/>
  <c r="E29" i="71" l="1"/>
  <c r="F27" i="71"/>
  <c r="F25" i="71"/>
  <c r="F23" i="71"/>
  <c r="G17" i="71"/>
  <c r="G15" i="71"/>
  <c r="G13" i="71"/>
  <c r="G12" i="71"/>
  <c r="G8" i="71"/>
  <c r="G6" i="71"/>
  <c r="F18" i="71"/>
  <c r="C29" i="71" l="1"/>
  <c r="D24" i="71" s="1"/>
  <c r="F22" i="71"/>
  <c r="F24" i="71"/>
  <c r="F26" i="71"/>
  <c r="F28" i="71"/>
  <c r="D18" i="71"/>
  <c r="G5" i="71"/>
  <c r="G7" i="71"/>
  <c r="G9" i="71"/>
  <c r="G11" i="71"/>
  <c r="G14" i="71"/>
  <c r="G4" i="71"/>
  <c r="G18" i="71" l="1"/>
  <c r="E16" i="71"/>
  <c r="F29" i="71"/>
  <c r="D23" i="71"/>
  <c r="D26" i="71"/>
  <c r="D27" i="71"/>
  <c r="D28" i="71"/>
  <c r="D25" i="71"/>
  <c r="D22" i="71"/>
  <c r="E6" i="71"/>
  <c r="E12" i="71"/>
  <c r="E13" i="71"/>
  <c r="E9" i="71"/>
  <c r="E5" i="71"/>
  <c r="E14" i="71"/>
  <c r="E4" i="71"/>
  <c r="E8" i="71"/>
  <c r="E15" i="71"/>
  <c r="E11" i="71"/>
  <c r="E7" i="71"/>
  <c r="E17" i="71"/>
  <c r="E10" i="71"/>
  <c r="D29" i="71" l="1"/>
  <c r="E18" i="71"/>
  <c r="H455" i="20" l="1"/>
  <c r="H563" i="20" l="1"/>
  <c r="H550" i="20"/>
  <c r="H548" i="20"/>
  <c r="H547" i="20"/>
  <c r="H546" i="20"/>
  <c r="H545" i="20"/>
  <c r="H544" i="20"/>
  <c r="H534" i="20"/>
  <c r="H532" i="20"/>
  <c r="H529" i="20"/>
  <c r="H494" i="20"/>
  <c r="H492" i="20"/>
  <c r="H490" i="20"/>
  <c r="H489" i="20"/>
  <c r="H469" i="20"/>
  <c r="H466" i="20"/>
  <c r="H465" i="20"/>
  <c r="H449" i="20"/>
  <c r="H346" i="20"/>
  <c r="H343" i="20"/>
  <c r="H342" i="20"/>
  <c r="H330" i="20"/>
  <c r="H284" i="20"/>
  <c r="H266" i="20"/>
  <c r="H265" i="20"/>
  <c r="H262" i="20"/>
  <c r="H253" i="20"/>
  <c r="H205" i="20"/>
  <c r="H199" i="20"/>
  <c r="H155" i="20"/>
  <c r="H153" i="20"/>
  <c r="H143" i="20"/>
  <c r="H51" i="20"/>
  <c r="H50" i="20"/>
  <c r="H49" i="20"/>
  <c r="H48" i="20"/>
  <c r="H46" i="20"/>
  <c r="H44" i="20"/>
  <c r="H43" i="20"/>
  <c r="H33" i="20"/>
  <c r="I563" i="20" l="1"/>
  <c r="I550" i="20"/>
  <c r="I548" i="20"/>
  <c r="I547" i="20"/>
  <c r="I546" i="20"/>
  <c r="I545" i="20"/>
  <c r="I544" i="20"/>
  <c r="I542" i="20"/>
  <c r="I534" i="20"/>
  <c r="I532" i="20"/>
  <c r="I529" i="20"/>
  <c r="I525" i="20"/>
  <c r="I494" i="20"/>
  <c r="I492" i="20"/>
  <c r="I490" i="20"/>
  <c r="I489" i="20"/>
  <c r="I469" i="20"/>
  <c r="I466" i="20"/>
  <c r="I465" i="20"/>
  <c r="I455" i="20"/>
  <c r="I449" i="20"/>
  <c r="I346" i="20"/>
  <c r="I343" i="20"/>
  <c r="I342" i="20"/>
  <c r="I330" i="20"/>
  <c r="I266" i="20"/>
  <c r="I265" i="20"/>
  <c r="I262" i="20"/>
  <c r="I253" i="20"/>
  <c r="I205" i="20"/>
  <c r="I199" i="20"/>
  <c r="I153" i="20"/>
  <c r="I143" i="20"/>
  <c r="I51" i="20"/>
  <c r="I50" i="20"/>
  <c r="I49" i="20"/>
  <c r="I48" i="20"/>
  <c r="I46" i="20"/>
  <c r="I44" i="20"/>
  <c r="I43" i="20"/>
  <c r="I33" i="20"/>
  <c r="J563" i="20" l="1"/>
  <c r="J550" i="20"/>
  <c r="J548" i="20"/>
  <c r="J547" i="20"/>
  <c r="J546" i="20"/>
  <c r="J545" i="20"/>
  <c r="J544" i="20"/>
  <c r="J542" i="20"/>
  <c r="J534" i="20"/>
  <c r="J532" i="20"/>
  <c r="J529" i="20"/>
  <c r="J525" i="20" l="1"/>
  <c r="J494" i="20"/>
  <c r="J492" i="20"/>
  <c r="J490" i="20"/>
  <c r="J489" i="20"/>
  <c r="J469" i="20"/>
  <c r="J466" i="20"/>
  <c r="J465" i="20"/>
  <c r="J455" i="20"/>
  <c r="G453" i="20"/>
  <c r="E453" i="20"/>
  <c r="C453" i="20"/>
  <c r="J449" i="20"/>
  <c r="G447" i="20"/>
  <c r="E447" i="20"/>
  <c r="F448" i="20" s="1"/>
  <c r="D447" i="20"/>
  <c r="C447" i="20"/>
  <c r="F454" i="20" l="1"/>
  <c r="F455" i="20"/>
  <c r="F449" i="20"/>
  <c r="I447" i="20"/>
  <c r="I459" i="20"/>
  <c r="I453" i="20"/>
  <c r="H459" i="20"/>
  <c r="H453" i="20"/>
  <c r="H447" i="20"/>
  <c r="J447" i="20"/>
  <c r="F465" i="20"/>
  <c r="F466" i="20"/>
  <c r="F469" i="20"/>
  <c r="J453" i="20"/>
  <c r="F489" i="20"/>
  <c r="F490" i="20"/>
  <c r="F492" i="20"/>
  <c r="F494" i="20"/>
  <c r="F525" i="20"/>
  <c r="F563" i="20"/>
  <c r="F550" i="20"/>
  <c r="F548" i="20"/>
  <c r="F547" i="20"/>
  <c r="F546" i="20"/>
  <c r="F545" i="20"/>
  <c r="F544" i="20"/>
  <c r="F534" i="20"/>
  <c r="F532" i="20"/>
  <c r="J459" i="20"/>
  <c r="F529" i="20"/>
  <c r="J346" i="20"/>
  <c r="J343" i="20"/>
  <c r="J342" i="20"/>
  <c r="J330" i="20"/>
  <c r="J265" i="20"/>
  <c r="J262" i="20"/>
  <c r="J253" i="20"/>
  <c r="G252" i="20"/>
  <c r="E252" i="20"/>
  <c r="F317" i="20" s="1"/>
  <c r="D252" i="20"/>
  <c r="J199" i="20"/>
  <c r="G187" i="20"/>
  <c r="E187" i="20"/>
  <c r="D187" i="20"/>
  <c r="C187" i="20"/>
  <c r="J155" i="20"/>
  <c r="J153" i="20"/>
  <c r="F194" i="20" l="1"/>
  <c r="F195" i="20"/>
  <c r="F228" i="20"/>
  <c r="F215" i="20"/>
  <c r="F203" i="20"/>
  <c r="F213" i="20"/>
  <c r="F271" i="20"/>
  <c r="F283" i="20"/>
  <c r="F198" i="20"/>
  <c r="F314" i="20"/>
  <c r="F316" i="20"/>
  <c r="F260" i="20"/>
  <c r="F282" i="20"/>
  <c r="F278" i="20"/>
  <c r="F280" i="20"/>
  <c r="F277" i="20"/>
  <c r="F259" i="20"/>
  <c r="F281" i="20"/>
  <c r="F275" i="20"/>
  <c r="F315" i="20"/>
  <c r="F229" i="20"/>
  <c r="F227" i="20"/>
  <c r="F298" i="20"/>
  <c r="F222" i="20"/>
  <c r="F290" i="20"/>
  <c r="F313" i="20"/>
  <c r="F231" i="20"/>
  <c r="F264" i="20"/>
  <c r="F312" i="20"/>
  <c r="F207" i="20"/>
  <c r="F248" i="20"/>
  <c r="F311" i="20"/>
  <c r="F318" i="20"/>
  <c r="F310" i="20"/>
  <c r="F270" i="20"/>
  <c r="F309" i="20"/>
  <c r="F308" i="20"/>
  <c r="F218" i="20"/>
  <c r="F219" i="20"/>
  <c r="F201" i="20"/>
  <c r="F246" i="20"/>
  <c r="F202" i="20"/>
  <c r="F192" i="20"/>
  <c r="F247" i="20"/>
  <c r="F245" i="20"/>
  <c r="F255" i="20"/>
  <c r="F294" i="20"/>
  <c r="F276" i="20"/>
  <c r="F261" i="20"/>
  <c r="F295" i="20"/>
  <c r="F190" i="20"/>
  <c r="F189" i="20"/>
  <c r="F296" i="20"/>
  <c r="F263" i="20"/>
  <c r="F188" i="20"/>
  <c r="F216" i="20"/>
  <c r="F238" i="20"/>
  <c r="F299" i="20"/>
  <c r="F297" i="20"/>
  <c r="F220" i="20"/>
  <c r="F292" i="20"/>
  <c r="F279" i="20"/>
  <c r="F191" i="20"/>
  <c r="F205" i="20"/>
  <c r="F206" i="20"/>
  <c r="F307" i="20"/>
  <c r="F306" i="20"/>
  <c r="F305" i="20"/>
  <c r="F304" i="20"/>
  <c r="F300" i="20"/>
  <c r="F197" i="20"/>
  <c r="F196" i="20"/>
  <c r="F272" i="20"/>
  <c r="F204" i="20"/>
  <c r="F235" i="20"/>
  <c r="F257" i="20"/>
  <c r="F244" i="20"/>
  <c r="F234" i="20"/>
  <c r="F236" i="20"/>
  <c r="F243" i="20"/>
  <c r="F274" i="20"/>
  <c r="F237" i="20"/>
  <c r="F267" i="20"/>
  <c r="F200" i="20"/>
  <c r="F254" i="20"/>
  <c r="F269" i="20"/>
  <c r="F226" i="20"/>
  <c r="F209" i="20"/>
  <c r="F208" i="20"/>
  <c r="F242" i="20"/>
  <c r="F214" i="20"/>
  <c r="F212" i="20"/>
  <c r="F217" i="20"/>
  <c r="F284" i="20"/>
  <c r="F285" i="20"/>
  <c r="F273" i="20"/>
  <c r="F241" i="20"/>
  <c r="F293" i="20"/>
  <c r="F367" i="20"/>
  <c r="F368" i="20"/>
  <c r="F233" i="20"/>
  <c r="F232" i="20"/>
  <c r="F211" i="20"/>
  <c r="F323" i="20"/>
  <c r="F230" i="20"/>
  <c r="F301" i="20"/>
  <c r="F266" i="20"/>
  <c r="F268" i="20"/>
  <c r="F383" i="20"/>
  <c r="F373" i="20"/>
  <c r="F371" i="20"/>
  <c r="F348" i="20"/>
  <c r="F352" i="20"/>
  <c r="F303" i="20"/>
  <c r="F302" i="20"/>
  <c r="F291" i="20"/>
  <c r="F289" i="20"/>
  <c r="F288" i="20"/>
  <c r="F240" i="20"/>
  <c r="F239" i="20"/>
  <c r="F225" i="20"/>
  <c r="F224" i="20"/>
  <c r="F223" i="20"/>
  <c r="F221" i="20"/>
  <c r="F210" i="20"/>
  <c r="F353" i="20"/>
  <c r="F411" i="20"/>
  <c r="F286" i="20"/>
  <c r="F287" i="20"/>
  <c r="F258" i="20"/>
  <c r="F256" i="20"/>
  <c r="F193" i="20"/>
  <c r="I252" i="20"/>
  <c r="I322" i="20"/>
  <c r="I187" i="20"/>
  <c r="H406" i="20"/>
  <c r="H322" i="20"/>
  <c r="J322" i="20"/>
  <c r="H252" i="20"/>
  <c r="H187" i="20"/>
  <c r="F199" i="20"/>
  <c r="J187" i="20"/>
  <c r="F253" i="20"/>
  <c r="F262" i="20"/>
  <c r="F265" i="20"/>
  <c r="C252" i="20"/>
  <c r="F330" i="20"/>
  <c r="F342" i="20"/>
  <c r="F343" i="20"/>
  <c r="F346" i="20"/>
  <c r="F350" i="20"/>
  <c r="J406" i="20"/>
  <c r="F431" i="20"/>
  <c r="J143" i="20"/>
  <c r="G142" i="20"/>
  <c r="E142" i="20"/>
  <c r="F165" i="20" s="1"/>
  <c r="D142" i="20"/>
  <c r="C142" i="20"/>
  <c r="F146" i="20" l="1"/>
  <c r="F144" i="20"/>
  <c r="F176" i="20"/>
  <c r="F183" i="20"/>
  <c r="F171" i="20"/>
  <c r="F160" i="20"/>
  <c r="F156" i="20"/>
  <c r="F182" i="20"/>
  <c r="F181" i="20"/>
  <c r="F154" i="20"/>
  <c r="F166" i="20"/>
  <c r="F174" i="20"/>
  <c r="F151" i="20"/>
  <c r="F175" i="20"/>
  <c r="F150" i="20"/>
  <c r="F172" i="20"/>
  <c r="F152" i="20"/>
  <c r="F147" i="20"/>
  <c r="F173" i="20"/>
  <c r="F149" i="20"/>
  <c r="F179" i="20"/>
  <c r="F180" i="20"/>
  <c r="F459" i="20"/>
  <c r="F178" i="20"/>
  <c r="F145" i="20"/>
  <c r="F148" i="20"/>
  <c r="F161" i="20"/>
  <c r="F158" i="20"/>
  <c r="F159" i="20"/>
  <c r="F170" i="20"/>
  <c r="F177" i="20"/>
  <c r="F169" i="20"/>
  <c r="F406" i="20"/>
  <c r="F322" i="20"/>
  <c r="F162" i="20"/>
  <c r="F167" i="20"/>
  <c r="F164" i="20"/>
  <c r="F163" i="20"/>
  <c r="F157" i="20"/>
  <c r="J252" i="20"/>
  <c r="I142" i="20"/>
  <c r="H142" i="20"/>
  <c r="J142" i="20"/>
  <c r="F187" i="20"/>
  <c r="F155" i="20"/>
  <c r="F153" i="20"/>
  <c r="F143" i="20"/>
  <c r="F252" i="20"/>
  <c r="J51" i="20"/>
  <c r="C18" i="71" l="1"/>
  <c r="I55" i="20"/>
  <c r="H55" i="20"/>
  <c r="J55" i="20"/>
  <c r="F142" i="20"/>
  <c r="J50" i="20"/>
  <c r="J49" i="20"/>
  <c r="J48" i="20"/>
  <c r="J46" i="20"/>
  <c r="J44" i="20"/>
  <c r="J43" i="20"/>
  <c r="J33" i="20"/>
  <c r="G32" i="20"/>
  <c r="F32" i="20"/>
  <c r="D32" i="20"/>
  <c r="C32" i="20"/>
  <c r="J32" i="20" l="1"/>
  <c r="I32" i="20"/>
  <c r="H32" i="20"/>
</calcChain>
</file>

<file path=xl/sharedStrings.xml><?xml version="1.0" encoding="utf-8"?>
<sst xmlns="http://schemas.openxmlformats.org/spreadsheetml/2006/main" count="6019" uniqueCount="2971">
  <si>
    <t>品牌</t>
    <phoneticPr fontId="40" type="noConversion"/>
  </si>
  <si>
    <t>交易笔数</t>
    <phoneticPr fontId="40" type="noConversion"/>
  </si>
  <si>
    <t>楼层</t>
  </si>
  <si>
    <t>1F</t>
  </si>
  <si>
    <t>2F</t>
  </si>
  <si>
    <t>3F</t>
  </si>
  <si>
    <t>4F</t>
  </si>
  <si>
    <t>5F</t>
  </si>
  <si>
    <t>6F</t>
  </si>
  <si>
    <t>7F</t>
  </si>
  <si>
    <t>8F</t>
  </si>
  <si>
    <t>B1</t>
  </si>
  <si>
    <t>服务</t>
    <phoneticPr fontId="40" type="noConversion"/>
  </si>
  <si>
    <t>食品</t>
    <phoneticPr fontId="40" type="noConversion"/>
  </si>
  <si>
    <t>文化教育</t>
    <phoneticPr fontId="40" type="noConversion"/>
  </si>
  <si>
    <t>总计</t>
  </si>
  <si>
    <t>总计</t>
    <phoneticPr fontId="40" type="noConversion"/>
  </si>
  <si>
    <t>休闲娱乐</t>
    <phoneticPr fontId="40" type="noConversion"/>
  </si>
  <si>
    <t>面积</t>
    <phoneticPr fontId="40" type="noConversion"/>
  </si>
  <si>
    <t>餐饮</t>
    <phoneticPr fontId="40" type="noConversion"/>
  </si>
  <si>
    <t>9F</t>
  </si>
  <si>
    <t>增长率%</t>
    <phoneticPr fontId="40" type="noConversion"/>
  </si>
  <si>
    <t>10F</t>
  </si>
  <si>
    <t>11F</t>
  </si>
  <si>
    <t>当日销售</t>
    <phoneticPr fontId="40" type="noConversion"/>
  </si>
  <si>
    <t>商户销售明细</t>
    <phoneticPr fontId="58" type="noConversion"/>
  </si>
  <si>
    <t>已开业面积</t>
    <phoneticPr fontId="40" type="noConversion"/>
  </si>
  <si>
    <t>上周同日</t>
    <phoneticPr fontId="40" type="noConversion"/>
  </si>
  <si>
    <t>当日销售占比</t>
    <phoneticPr fontId="40" type="noConversion"/>
  </si>
  <si>
    <t>业态</t>
    <phoneticPr fontId="40" type="noConversion"/>
  </si>
  <si>
    <r>
      <t xml:space="preserve"> 业态销售汇总  </t>
    </r>
    <r>
      <rPr>
        <sz val="8"/>
        <color theme="0"/>
        <rFont val="微软雅黑"/>
        <family val="2"/>
        <charset val="134"/>
      </rPr>
      <t xml:space="preserve">                             </t>
    </r>
    <phoneticPr fontId="40" type="noConversion"/>
  </si>
  <si>
    <t>销售额</t>
    <phoneticPr fontId="40" type="noConversion"/>
  </si>
  <si>
    <t>客流</t>
    <phoneticPr fontId="40" type="noConversion"/>
  </si>
  <si>
    <t>车流</t>
    <phoneticPr fontId="40" type="noConversion"/>
  </si>
  <si>
    <t>提袋率</t>
    <phoneticPr fontId="40" type="noConversion"/>
  </si>
  <si>
    <t>业绩目标</t>
    <phoneticPr fontId="40" type="noConversion"/>
  </si>
  <si>
    <t>累计完成</t>
    <phoneticPr fontId="40" type="noConversion"/>
  </si>
  <si>
    <t>完成率</t>
    <phoneticPr fontId="40" type="noConversion"/>
  </si>
  <si>
    <t>客流</t>
    <phoneticPr fontId="40" type="noConversion"/>
  </si>
  <si>
    <t>历史最高</t>
    <phoneticPr fontId="40" type="noConversion"/>
  </si>
  <si>
    <t>销售额</t>
    <phoneticPr fontId="40" type="noConversion"/>
  </si>
  <si>
    <t>车流</t>
    <phoneticPr fontId="40" type="noConversion"/>
  </si>
  <si>
    <t>历史第2位</t>
    <phoneticPr fontId="40" type="noConversion"/>
  </si>
  <si>
    <t>2月</t>
  </si>
  <si>
    <t>3月</t>
  </si>
  <si>
    <t>4月</t>
  </si>
  <si>
    <t>5月</t>
  </si>
  <si>
    <t>7月</t>
  </si>
  <si>
    <t>8月</t>
  </si>
  <si>
    <t>9月</t>
  </si>
  <si>
    <t>10月</t>
  </si>
  <si>
    <t>11月</t>
  </si>
  <si>
    <t>12月</t>
  </si>
  <si>
    <t>朝阳大悦城经营销售日报</t>
    <phoneticPr fontId="40" type="noConversion"/>
  </si>
  <si>
    <t>当日推广活动：</t>
    <phoneticPr fontId="40" type="noConversion"/>
  </si>
  <si>
    <t>天气情况：</t>
    <phoneticPr fontId="40" type="noConversion"/>
  </si>
  <si>
    <t>品牌</t>
    <phoneticPr fontId="40" type="noConversion"/>
  </si>
  <si>
    <t>面积</t>
    <phoneticPr fontId="40" type="noConversion"/>
  </si>
  <si>
    <t>交易笔数</t>
    <phoneticPr fontId="40" type="noConversion"/>
  </si>
  <si>
    <t>当日销售</t>
    <phoneticPr fontId="40" type="noConversion"/>
  </si>
  <si>
    <t>上周同日销售</t>
    <phoneticPr fontId="58" type="noConversion"/>
  </si>
  <si>
    <t>销售增幅</t>
    <phoneticPr fontId="58" type="noConversion"/>
  </si>
  <si>
    <t>客单价</t>
    <phoneticPr fontId="58" type="noConversion"/>
  </si>
  <si>
    <t>坪效</t>
    <phoneticPr fontId="58" type="noConversion"/>
  </si>
  <si>
    <t>楼层销售占比</t>
    <phoneticPr fontId="58" type="noConversion"/>
  </si>
  <si>
    <t>本层总计</t>
    <phoneticPr fontId="58" type="noConversion"/>
  </si>
  <si>
    <t xml:space="preserve"> B1 商户销售情况</t>
    <phoneticPr fontId="40" type="noConversion"/>
  </si>
  <si>
    <t xml:space="preserve"> 1F 商户销售情况</t>
    <phoneticPr fontId="40" type="noConversion"/>
  </si>
  <si>
    <t xml:space="preserve"> 2F 商户销售情况</t>
    <phoneticPr fontId="40" type="noConversion"/>
  </si>
  <si>
    <t>品牌</t>
    <phoneticPr fontId="40" type="noConversion"/>
  </si>
  <si>
    <t>面积</t>
    <phoneticPr fontId="40" type="noConversion"/>
  </si>
  <si>
    <t>交易笔数</t>
    <phoneticPr fontId="40" type="noConversion"/>
  </si>
  <si>
    <t>当日销售</t>
    <phoneticPr fontId="40" type="noConversion"/>
  </si>
  <si>
    <t>楼层销售占比</t>
    <phoneticPr fontId="58" type="noConversion"/>
  </si>
  <si>
    <t>上周同日销售</t>
    <phoneticPr fontId="58" type="noConversion"/>
  </si>
  <si>
    <t>销售增幅</t>
    <phoneticPr fontId="58" type="noConversion"/>
  </si>
  <si>
    <t>客单价</t>
    <phoneticPr fontId="58" type="noConversion"/>
  </si>
  <si>
    <t>坪效</t>
    <phoneticPr fontId="58" type="noConversion"/>
  </si>
  <si>
    <t>本层总计</t>
    <phoneticPr fontId="58" type="noConversion"/>
  </si>
  <si>
    <t xml:space="preserve"> 4F 商户销售情况</t>
    <phoneticPr fontId="40" type="noConversion"/>
  </si>
  <si>
    <t xml:space="preserve"> 5F 商户销售情况</t>
    <phoneticPr fontId="40" type="noConversion"/>
  </si>
  <si>
    <t xml:space="preserve"> 9F 商户销售情况</t>
    <phoneticPr fontId="40" type="noConversion"/>
  </si>
  <si>
    <t xml:space="preserve"> 10F 商户销售情况</t>
    <phoneticPr fontId="40" type="noConversion"/>
  </si>
  <si>
    <t>面积</t>
    <phoneticPr fontId="40" type="noConversion"/>
  </si>
  <si>
    <t>交易笔数</t>
    <phoneticPr fontId="40" type="noConversion"/>
  </si>
  <si>
    <t>当日销售</t>
    <phoneticPr fontId="40" type="noConversion"/>
  </si>
  <si>
    <t>楼层销售占比</t>
    <phoneticPr fontId="58" type="noConversion"/>
  </si>
  <si>
    <t>上周同日销售</t>
    <phoneticPr fontId="58" type="noConversion"/>
  </si>
  <si>
    <t>销售增幅</t>
    <phoneticPr fontId="58" type="noConversion"/>
  </si>
  <si>
    <t>客单价</t>
    <phoneticPr fontId="58" type="noConversion"/>
  </si>
  <si>
    <t>坪效</t>
    <phoneticPr fontId="58" type="noConversion"/>
  </si>
  <si>
    <t>本层总计</t>
    <phoneticPr fontId="58" type="noConversion"/>
  </si>
  <si>
    <t xml:space="preserve"> 餐饮 商户销售情况</t>
    <phoneticPr fontId="40" type="noConversion"/>
  </si>
  <si>
    <t>总计</t>
    <phoneticPr fontId="58" type="noConversion"/>
  </si>
  <si>
    <t>品牌</t>
    <phoneticPr fontId="40" type="noConversion"/>
  </si>
  <si>
    <t>面积</t>
    <phoneticPr fontId="40" type="noConversion"/>
  </si>
  <si>
    <t>交易笔数</t>
    <phoneticPr fontId="40" type="noConversion"/>
  </si>
  <si>
    <t>当日销售</t>
    <phoneticPr fontId="40" type="noConversion"/>
  </si>
  <si>
    <t>销售占比</t>
    <phoneticPr fontId="58" type="noConversion"/>
  </si>
  <si>
    <t>上周同日销售</t>
    <phoneticPr fontId="58" type="noConversion"/>
  </si>
  <si>
    <t>销售增幅</t>
    <phoneticPr fontId="58" type="noConversion"/>
  </si>
  <si>
    <t>客单价</t>
    <phoneticPr fontId="58" type="noConversion"/>
  </si>
  <si>
    <t>坪效</t>
    <phoneticPr fontId="58" type="noConversion"/>
  </si>
  <si>
    <t>汇总</t>
    <phoneticPr fontId="40" type="noConversion"/>
  </si>
  <si>
    <t>经营变化剧烈商户</t>
    <phoneticPr fontId="58" type="noConversion"/>
  </si>
  <si>
    <t>餐饮销售占比</t>
    <phoneticPr fontId="58" type="noConversion"/>
  </si>
  <si>
    <t xml:space="preserve"> 业绩目标完成情况（万元）</t>
    <phoneticPr fontId="40" type="noConversion"/>
  </si>
  <si>
    <t xml:space="preserve"> 项目历史纪录（万元、万人、车次）</t>
    <phoneticPr fontId="40" type="noConversion"/>
  </si>
  <si>
    <t>商户数量</t>
    <phoneticPr fontId="58" type="noConversion"/>
  </si>
  <si>
    <t>经营面积</t>
    <phoneticPr fontId="58" type="noConversion"/>
  </si>
  <si>
    <t>增长商户</t>
    <phoneticPr fontId="58" type="noConversion"/>
  </si>
  <si>
    <t>下滑商户</t>
    <phoneticPr fontId="58" type="noConversion"/>
  </si>
  <si>
    <t>商户总体经营状况</t>
    <phoneticPr fontId="58" type="noConversion"/>
  </si>
  <si>
    <t>持平商户</t>
    <phoneticPr fontId="58" type="noConversion"/>
  </si>
  <si>
    <t>当日</t>
    <phoneticPr fontId="40" type="noConversion"/>
  </si>
  <si>
    <t>去年同日</t>
    <phoneticPr fontId="40" type="noConversion"/>
  </si>
  <si>
    <t>店铺号</t>
  </si>
  <si>
    <t>7FZ011</t>
    <phoneticPr fontId="40" type="noConversion"/>
  </si>
  <si>
    <t>8FZ011</t>
    <phoneticPr fontId="40" type="noConversion"/>
  </si>
  <si>
    <t>9F0101</t>
    <phoneticPr fontId="40" type="noConversion"/>
  </si>
  <si>
    <t>9F0201</t>
    <phoneticPr fontId="40" type="noConversion"/>
  </si>
  <si>
    <t>BFZ011</t>
    <phoneticPr fontId="40" type="noConversion"/>
  </si>
  <si>
    <t>B20102</t>
    <phoneticPr fontId="40" type="noConversion"/>
  </si>
  <si>
    <t>1F1801</t>
    <phoneticPr fontId="40" type="noConversion"/>
  </si>
  <si>
    <t>2F1701</t>
    <phoneticPr fontId="40" type="noConversion"/>
  </si>
  <si>
    <t>3F1401</t>
    <phoneticPr fontId="40" type="noConversion"/>
  </si>
  <si>
    <t>3F1701</t>
    <phoneticPr fontId="40" type="noConversion"/>
  </si>
  <si>
    <t>3F1901</t>
    <phoneticPr fontId="40" type="noConversion"/>
  </si>
  <si>
    <t>4F0601</t>
    <phoneticPr fontId="40" type="noConversion"/>
  </si>
  <si>
    <t>4F1301</t>
    <phoneticPr fontId="58" type="noConversion"/>
  </si>
  <si>
    <t>4F1401</t>
    <phoneticPr fontId="40" type="noConversion"/>
  </si>
  <si>
    <t>4F1702</t>
    <phoneticPr fontId="58" type="noConversion"/>
  </si>
  <si>
    <t>4F2201</t>
    <phoneticPr fontId="40" type="noConversion"/>
  </si>
  <si>
    <t>5F2901</t>
    <phoneticPr fontId="40" type="noConversion"/>
  </si>
  <si>
    <t>9FZ011</t>
    <phoneticPr fontId="58" type="noConversion"/>
  </si>
  <si>
    <t>AFZ041</t>
    <phoneticPr fontId="40" type="noConversion"/>
  </si>
  <si>
    <t>2F4101</t>
    <phoneticPr fontId="40" type="noConversion"/>
  </si>
  <si>
    <t>5F3001</t>
    <phoneticPr fontId="40" type="noConversion"/>
  </si>
  <si>
    <t>6F0501</t>
    <phoneticPr fontId="58" type="noConversion"/>
  </si>
  <si>
    <t>6F0601</t>
    <phoneticPr fontId="40" type="noConversion"/>
  </si>
  <si>
    <t>6F0801</t>
    <phoneticPr fontId="40" type="noConversion"/>
  </si>
  <si>
    <t>6F1001</t>
    <phoneticPr fontId="58" type="noConversion"/>
  </si>
  <si>
    <t>7F0301</t>
    <phoneticPr fontId="58" type="noConversion"/>
  </si>
  <si>
    <t>7F0401</t>
    <phoneticPr fontId="58" type="noConversion"/>
  </si>
  <si>
    <t>7F0701</t>
    <phoneticPr fontId="40" type="noConversion"/>
  </si>
  <si>
    <t>7F1201</t>
    <phoneticPr fontId="40" type="noConversion"/>
  </si>
  <si>
    <t>8F0201</t>
    <phoneticPr fontId="40" type="noConversion"/>
  </si>
  <si>
    <t>8F0401</t>
    <phoneticPr fontId="58" type="noConversion"/>
  </si>
  <si>
    <t>8F0501</t>
    <phoneticPr fontId="58" type="noConversion"/>
  </si>
  <si>
    <t>8F0601</t>
    <phoneticPr fontId="58" type="noConversion"/>
  </si>
  <si>
    <t>8F0701</t>
    <phoneticPr fontId="40" type="noConversion"/>
  </si>
  <si>
    <t>8F0801</t>
    <phoneticPr fontId="40" type="noConversion"/>
  </si>
  <si>
    <t>8F2001</t>
    <phoneticPr fontId="40" type="noConversion"/>
  </si>
  <si>
    <t>5F0101</t>
    <phoneticPr fontId="40" type="noConversion"/>
  </si>
  <si>
    <t>星   期：</t>
    <phoneticPr fontId="40" type="noConversion"/>
  </si>
  <si>
    <t>零售</t>
    <phoneticPr fontId="40" type="noConversion"/>
  </si>
  <si>
    <t>1月</t>
  </si>
  <si>
    <t>6月</t>
  </si>
  <si>
    <t xml:space="preserve"> 累计指标</t>
    <phoneticPr fontId="40" type="noConversion"/>
  </si>
  <si>
    <t>AFZ011</t>
    <phoneticPr fontId="40" type="noConversion"/>
  </si>
  <si>
    <t xml:space="preserve"> 楼层销售汇总</t>
    <phoneticPr fontId="40" type="noConversion"/>
  </si>
  <si>
    <t>2F0702</t>
    <phoneticPr fontId="40" type="noConversion"/>
  </si>
  <si>
    <t>今日日报日期</t>
    <phoneticPr fontId="40" type="noConversion"/>
  </si>
  <si>
    <t>品牌</t>
  </si>
  <si>
    <t>面积</t>
  </si>
  <si>
    <t>业态</t>
  </si>
  <si>
    <t>标准业态</t>
  </si>
  <si>
    <t>笔数</t>
  </si>
  <si>
    <t>8FZ021</t>
    <phoneticPr fontId="40" type="noConversion"/>
  </si>
  <si>
    <t>5F0101</t>
  </si>
  <si>
    <t>7FZ011</t>
  </si>
  <si>
    <t>8FZ011</t>
  </si>
  <si>
    <t>8FZ021</t>
  </si>
  <si>
    <t>9F0101</t>
  </si>
  <si>
    <t>9F0201</t>
  </si>
  <si>
    <t>AFZ011</t>
  </si>
  <si>
    <t>B1Z011</t>
  </si>
  <si>
    <t>BFZ011</t>
  </si>
  <si>
    <t>B20102</t>
  </si>
  <si>
    <t>1FZ021</t>
  </si>
  <si>
    <t>1FZ031</t>
  </si>
  <si>
    <t>1F1101</t>
  </si>
  <si>
    <t>1F1301</t>
  </si>
  <si>
    <t>1F1801</t>
  </si>
  <si>
    <t>1F2001</t>
  </si>
  <si>
    <t>2F0702</t>
  </si>
  <si>
    <t>2F1701</t>
  </si>
  <si>
    <t>2F2301</t>
  </si>
  <si>
    <t>2F4201</t>
  </si>
  <si>
    <t>2F4301</t>
  </si>
  <si>
    <t>2FD001</t>
  </si>
  <si>
    <t>2FD002</t>
  </si>
  <si>
    <t>2FD003</t>
  </si>
  <si>
    <t>3F0101</t>
  </si>
  <si>
    <t>3F1101</t>
  </si>
  <si>
    <t>3F1401</t>
  </si>
  <si>
    <t>3F1701</t>
  </si>
  <si>
    <t>3F1901</t>
  </si>
  <si>
    <t>3F3601</t>
  </si>
  <si>
    <t>3FD005</t>
  </si>
  <si>
    <t>4F0601</t>
  </si>
  <si>
    <t>4F1301</t>
  </si>
  <si>
    <t>4F1401</t>
  </si>
  <si>
    <t>4F1702</t>
  </si>
  <si>
    <t>4F2201</t>
  </si>
  <si>
    <t>4F2801</t>
  </si>
  <si>
    <t>5F2901</t>
  </si>
  <si>
    <t>5FD005</t>
  </si>
  <si>
    <t>9F0501</t>
  </si>
  <si>
    <t>9FZ011</t>
  </si>
  <si>
    <t>AFZ021</t>
  </si>
  <si>
    <t>AFZ041</t>
  </si>
  <si>
    <t>1F0201</t>
  </si>
  <si>
    <t>2F4101</t>
  </si>
  <si>
    <t>3F3701</t>
  </si>
  <si>
    <t>5F3001</t>
  </si>
  <si>
    <t>6F0501</t>
  </si>
  <si>
    <t>6F0601</t>
  </si>
  <si>
    <t>6F0801</t>
  </si>
  <si>
    <t>6F1001</t>
  </si>
  <si>
    <t>6F1501</t>
  </si>
  <si>
    <t>7F0301</t>
  </si>
  <si>
    <t>7F0401</t>
  </si>
  <si>
    <t>7F0701</t>
  </si>
  <si>
    <t>7F0801</t>
  </si>
  <si>
    <t>7F1201</t>
  </si>
  <si>
    <t>7F1401</t>
  </si>
  <si>
    <t>8F0201</t>
  </si>
  <si>
    <t>8F0401</t>
  </si>
  <si>
    <t>8F0501</t>
  </si>
  <si>
    <t>8F0601</t>
  </si>
  <si>
    <t>8F0701</t>
  </si>
  <si>
    <t>8F0801</t>
  </si>
  <si>
    <t>8F09B1</t>
  </si>
  <si>
    <t>8F14A1</t>
  </si>
  <si>
    <t>8F2001</t>
  </si>
  <si>
    <t>F3</t>
  </si>
  <si>
    <t>F4</t>
  </si>
  <si>
    <t>当日销售占比</t>
    <phoneticPr fontId="40" type="noConversion"/>
  </si>
  <si>
    <t>B2</t>
    <phoneticPr fontId="40" type="noConversion"/>
  </si>
  <si>
    <t>销售额（万元）</t>
  </si>
  <si>
    <t>客流（万人）</t>
  </si>
  <si>
    <t>车流（万次）</t>
  </si>
  <si>
    <t>会员（个）</t>
  </si>
  <si>
    <t>3F0501</t>
    <phoneticPr fontId="58" type="noConversion"/>
  </si>
  <si>
    <t>3F0501</t>
  </si>
  <si>
    <t>3F05A1</t>
  </si>
  <si>
    <t>3F05A1</t>
    <phoneticPr fontId="58" type="noConversion"/>
  </si>
  <si>
    <t>4F2602</t>
  </si>
  <si>
    <t>B10702</t>
  </si>
  <si>
    <t>B11802</t>
  </si>
  <si>
    <t xml:space="preserve"> 销售额下降最大商户（前5名）</t>
    <phoneticPr fontId="40" type="noConversion"/>
  </si>
  <si>
    <t>销售下降</t>
    <phoneticPr fontId="58" type="noConversion"/>
  </si>
  <si>
    <t>销售上涨</t>
    <phoneticPr fontId="58" type="noConversion"/>
  </si>
  <si>
    <t xml:space="preserve"> 销售额上涨最大商户（前5名）</t>
    <phoneticPr fontId="40" type="noConversion"/>
  </si>
  <si>
    <t>B13001</t>
  </si>
  <si>
    <t>4F3602</t>
  </si>
  <si>
    <t>4F3602</t>
    <phoneticPr fontId="58" type="noConversion"/>
  </si>
  <si>
    <t>B11003</t>
  </si>
  <si>
    <t>B11003</t>
    <phoneticPr fontId="58" type="noConversion"/>
  </si>
  <si>
    <t>F5</t>
  </si>
  <si>
    <t>F7</t>
  </si>
  <si>
    <t>F8</t>
  </si>
  <si>
    <t>F9</t>
  </si>
  <si>
    <t>F10</t>
  </si>
  <si>
    <t>F1</t>
  </si>
  <si>
    <t>F2</t>
  </si>
  <si>
    <t>解码</t>
  </si>
  <si>
    <t>BLUMENOVUM</t>
  </si>
  <si>
    <t>色非</t>
  </si>
  <si>
    <t>习朗</t>
  </si>
  <si>
    <t>RIME</t>
  </si>
  <si>
    <t>IPKN</t>
  </si>
  <si>
    <t>紫齐百合</t>
  </si>
  <si>
    <t>B.STYLE</t>
  </si>
  <si>
    <t>F6</t>
  </si>
  <si>
    <t>摩提工房</t>
  </si>
  <si>
    <t>B13001</t>
    <phoneticPr fontId="58" type="noConversion"/>
  </si>
  <si>
    <t>飞信（樊欣）</t>
    <phoneticPr fontId="40" type="noConversion"/>
  </si>
  <si>
    <t>3F39A1</t>
  </si>
  <si>
    <t>3F3902</t>
  </si>
  <si>
    <t>B13102</t>
  </si>
  <si>
    <t>B13302</t>
  </si>
  <si>
    <t>B16701</t>
  </si>
  <si>
    <t>B12101</t>
  </si>
  <si>
    <t>B12301</t>
  </si>
  <si>
    <t>B13501</t>
  </si>
  <si>
    <t>B13702</t>
  </si>
  <si>
    <t>B13902</t>
  </si>
  <si>
    <t>B12402</t>
  </si>
  <si>
    <t>B12402</t>
    <phoneticPr fontId="58" type="noConversion"/>
  </si>
  <si>
    <t>3FT004</t>
  </si>
  <si>
    <t>淑女屋等特卖</t>
  </si>
  <si>
    <t>5F1102</t>
  </si>
  <si>
    <t>8FD001</t>
  </si>
  <si>
    <t>面包新语岛柜</t>
  </si>
  <si>
    <t>4F2502</t>
  </si>
  <si>
    <t>4F2502</t>
    <phoneticPr fontId="58" type="noConversion"/>
  </si>
  <si>
    <t>3FT005</t>
  </si>
  <si>
    <t>法文箱子特卖</t>
  </si>
  <si>
    <t>5F1002</t>
  </si>
  <si>
    <t>5F1002</t>
    <phoneticPr fontId="58" type="noConversion"/>
  </si>
  <si>
    <t>4F1902</t>
  </si>
  <si>
    <t>8F2701</t>
  </si>
  <si>
    <t>9月累计</t>
  </si>
  <si>
    <t>8F2701</t>
    <phoneticPr fontId="58" type="noConversion"/>
  </si>
  <si>
    <t>4F1902</t>
    <phoneticPr fontId="58" type="noConversion"/>
  </si>
  <si>
    <t>销售数据比P2多12家商户。</t>
  </si>
  <si>
    <t>3F3802</t>
  </si>
  <si>
    <t>2F2703</t>
  </si>
  <si>
    <t>5F0202</t>
  </si>
  <si>
    <t>5F0202</t>
    <phoneticPr fontId="58" type="noConversion"/>
  </si>
  <si>
    <t>B12001</t>
  </si>
  <si>
    <t>B1Z021</t>
  </si>
  <si>
    <t>B11303</t>
  </si>
  <si>
    <t>1F2102</t>
  </si>
  <si>
    <t>B11303</t>
    <phoneticPr fontId="58" type="noConversion"/>
  </si>
  <si>
    <t>1F2102</t>
    <phoneticPr fontId="58" type="noConversion"/>
  </si>
  <si>
    <t>5F2002</t>
  </si>
  <si>
    <t>5F2002</t>
    <phoneticPr fontId="58" type="noConversion"/>
  </si>
  <si>
    <t>B11102</t>
  </si>
  <si>
    <t>B11102</t>
    <phoneticPr fontId="58" type="noConversion"/>
  </si>
  <si>
    <t>8F0102</t>
  </si>
  <si>
    <t>8F0102</t>
    <phoneticPr fontId="58" type="noConversion"/>
  </si>
  <si>
    <t>1F2902</t>
  </si>
  <si>
    <t>2F4501</t>
  </si>
  <si>
    <t>2F4701</t>
  </si>
  <si>
    <t>2F4801</t>
  </si>
  <si>
    <t>2F4901</t>
  </si>
  <si>
    <t>2F5401</t>
  </si>
  <si>
    <t>2FD007</t>
  </si>
  <si>
    <t>2FD011</t>
  </si>
  <si>
    <t>3F2102</t>
  </si>
  <si>
    <t>3F4001</t>
  </si>
  <si>
    <t>3F4101</t>
  </si>
  <si>
    <t>3F4301</t>
  </si>
  <si>
    <t>3FD009</t>
  </si>
  <si>
    <t>3FD011</t>
  </si>
  <si>
    <t>3FD012</t>
  </si>
  <si>
    <t>4F4901</t>
  </si>
  <si>
    <t>4F5201</t>
  </si>
  <si>
    <t>6F2301</t>
  </si>
  <si>
    <t>7F0902</t>
  </si>
  <si>
    <t>8FZ031</t>
  </si>
  <si>
    <t>7F1002</t>
  </si>
  <si>
    <t>7F1002</t>
    <phoneticPr fontId="58" type="noConversion"/>
  </si>
  <si>
    <t>8FZ031</t>
    <phoneticPr fontId="40" type="noConversion"/>
  </si>
  <si>
    <t>1F3301</t>
  </si>
  <si>
    <t>1F3301</t>
    <phoneticPr fontId="40" type="noConversion"/>
  </si>
  <si>
    <t>2F5901</t>
  </si>
  <si>
    <t>1F3201</t>
  </si>
  <si>
    <t>2F2903</t>
  </si>
  <si>
    <t>2F2903</t>
    <phoneticPr fontId="58" type="noConversion"/>
  </si>
  <si>
    <t>3F1101</t>
    <phoneticPr fontId="58" type="noConversion"/>
  </si>
  <si>
    <t>7F0801</t>
    <phoneticPr fontId="58" type="noConversion"/>
  </si>
  <si>
    <t>7F0902</t>
    <phoneticPr fontId="58" type="noConversion"/>
  </si>
  <si>
    <t>5FD005</t>
    <phoneticPr fontId="58" type="noConversion"/>
  </si>
  <si>
    <t>1F31A1</t>
  </si>
  <si>
    <t xml:space="preserve"> 次主力商户 销售情况</t>
    <phoneticPr fontId="40" type="noConversion"/>
  </si>
  <si>
    <t>4F0102</t>
  </si>
  <si>
    <t>1F4101</t>
  </si>
  <si>
    <t>5F19A1</t>
  </si>
  <si>
    <t>5F1502</t>
  </si>
  <si>
    <t>5F1602</t>
  </si>
  <si>
    <t>1FD009</t>
  </si>
  <si>
    <t>5F2702</t>
  </si>
  <si>
    <t>3F0102</t>
  </si>
  <si>
    <t>3F0102</t>
    <phoneticPr fontId="40" type="noConversion"/>
  </si>
  <si>
    <t>5F1903</t>
  </si>
  <si>
    <t>8FD003</t>
  </si>
  <si>
    <t>2F6101</t>
  </si>
  <si>
    <t>2F6101</t>
    <phoneticPr fontId="58" type="noConversion"/>
  </si>
  <si>
    <t>3FD015</t>
  </si>
  <si>
    <t>8F2801</t>
  </si>
  <si>
    <t>8F2801</t>
    <phoneticPr fontId="58" type="noConversion"/>
  </si>
  <si>
    <t>2F6201</t>
  </si>
  <si>
    <t>7F1801</t>
  </si>
  <si>
    <t>1F31B1</t>
  </si>
  <si>
    <t>B16602</t>
  </si>
  <si>
    <t>5F1803</t>
  </si>
  <si>
    <t>1F3501</t>
  </si>
  <si>
    <t>B17001</t>
  </si>
  <si>
    <t>4F4002</t>
  </si>
  <si>
    <t>4F4101</t>
  </si>
  <si>
    <t>家居生活</t>
  </si>
  <si>
    <t>非正餐</t>
  </si>
  <si>
    <t>永旺超市</t>
  </si>
  <si>
    <t>3F4601</t>
  </si>
  <si>
    <t>B15702</t>
  </si>
  <si>
    <t>永旺超市</t>
    <phoneticPr fontId="40" type="noConversion"/>
  </si>
  <si>
    <t>1F4501</t>
  </si>
  <si>
    <t>1F4501</t>
    <phoneticPr fontId="58" type="noConversion"/>
  </si>
  <si>
    <t>商户销售</t>
    <phoneticPr fontId="40" type="noConversion"/>
  </si>
  <si>
    <t>车流：</t>
    <phoneticPr fontId="40" type="noConversion"/>
  </si>
  <si>
    <t>客流：</t>
    <phoneticPr fontId="40" type="noConversion"/>
  </si>
  <si>
    <t>小数点保留1位</t>
    <phoneticPr fontId="40" type="noConversion"/>
  </si>
  <si>
    <t>区域</t>
    <phoneticPr fontId="40" type="noConversion"/>
  </si>
  <si>
    <t>楼层</t>
    <phoneticPr fontId="40" type="noConversion"/>
  </si>
  <si>
    <t>店铺号</t>
    <phoneticPr fontId="40" type="noConversion"/>
  </si>
  <si>
    <t>店铺名称</t>
    <phoneticPr fontId="40" type="noConversion"/>
  </si>
  <si>
    <t>面积
（单位：平米）</t>
    <phoneticPr fontId="40" type="noConversion"/>
  </si>
  <si>
    <t>标准业态</t>
    <phoneticPr fontId="40" type="noConversion"/>
  </si>
  <si>
    <t>销售
（单位：元）</t>
    <phoneticPr fontId="40" type="noConversion"/>
  </si>
  <si>
    <t>交易笔数
（单位：笔）</t>
    <phoneticPr fontId="40" type="noConversion"/>
  </si>
  <si>
    <t>客单价
（单位：元）</t>
  </si>
  <si>
    <t>当月累计
（单位：元）</t>
    <phoneticPr fontId="40" type="noConversion"/>
  </si>
  <si>
    <t>品牌同当日整体销售占比</t>
    <phoneticPr fontId="40" type="noConversion"/>
  </si>
  <si>
    <t>坪效
（单位：元/日/平米）</t>
    <phoneticPr fontId="40" type="noConversion"/>
  </si>
  <si>
    <t>品牌促销活动</t>
    <phoneticPr fontId="40" type="noConversion"/>
  </si>
  <si>
    <t>F10</t>
    <phoneticPr fontId="40" type="noConversion"/>
  </si>
  <si>
    <t>AFZ021</t>
    <phoneticPr fontId="40" type="noConversion"/>
  </si>
  <si>
    <t>AFZ041</t>
    <phoneticPr fontId="40" type="noConversion"/>
  </si>
  <si>
    <t>楼层小计</t>
    <phoneticPr fontId="40" type="noConversion"/>
  </si>
  <si>
    <t>F11</t>
    <phoneticPr fontId="40" type="noConversion"/>
  </si>
  <si>
    <t>BFZ011</t>
    <phoneticPr fontId="40" type="noConversion"/>
  </si>
  <si>
    <t>F1</t>
    <phoneticPr fontId="40" type="noConversion"/>
  </si>
  <si>
    <t>1F1301</t>
    <phoneticPr fontId="40" type="noConversion"/>
  </si>
  <si>
    <t>1F1801</t>
    <phoneticPr fontId="40" type="noConversion"/>
  </si>
  <si>
    <t>1F2001</t>
    <phoneticPr fontId="40" type="noConversion"/>
  </si>
  <si>
    <t>1F2102</t>
    <phoneticPr fontId="40" type="noConversion"/>
  </si>
  <si>
    <t>1FZ031</t>
    <phoneticPr fontId="40" type="noConversion"/>
  </si>
  <si>
    <t>1F31A1</t>
    <phoneticPr fontId="40" type="noConversion"/>
  </si>
  <si>
    <t>1F3301</t>
    <phoneticPr fontId="40" type="noConversion"/>
  </si>
  <si>
    <t>1F4501</t>
    <phoneticPr fontId="40" type="noConversion"/>
  </si>
  <si>
    <t>F2</t>
    <phoneticPr fontId="40" type="noConversion"/>
  </si>
  <si>
    <t>2F0702</t>
    <phoneticPr fontId="40" type="noConversion"/>
  </si>
  <si>
    <t>2F1701</t>
    <phoneticPr fontId="40" type="noConversion"/>
  </si>
  <si>
    <t>2F2703</t>
    <phoneticPr fontId="40" type="noConversion"/>
  </si>
  <si>
    <t>2F2903</t>
    <phoneticPr fontId="40" type="noConversion"/>
  </si>
  <si>
    <t>2F4101</t>
    <phoneticPr fontId="40" type="noConversion"/>
  </si>
  <si>
    <t>2F4901</t>
    <phoneticPr fontId="40" type="noConversion"/>
  </si>
  <si>
    <t>2F6101</t>
    <phoneticPr fontId="40" type="noConversion"/>
  </si>
  <si>
    <t>F3</t>
    <phoneticPr fontId="40" type="noConversion"/>
  </si>
  <si>
    <t>3F0102</t>
    <phoneticPr fontId="40" type="noConversion"/>
  </si>
  <si>
    <t>3F05A1</t>
    <phoneticPr fontId="40" type="noConversion"/>
  </si>
  <si>
    <t>3F1101</t>
    <phoneticPr fontId="40" type="noConversion"/>
  </si>
  <si>
    <t>3F1401</t>
    <phoneticPr fontId="40" type="noConversion"/>
  </si>
  <si>
    <t>3F1701</t>
    <phoneticPr fontId="40" type="noConversion"/>
  </si>
  <si>
    <t>3F1901</t>
    <phoneticPr fontId="40" type="noConversion"/>
  </si>
  <si>
    <t>3F3601</t>
    <phoneticPr fontId="40" type="noConversion"/>
  </si>
  <si>
    <t>3F3701</t>
    <phoneticPr fontId="40" type="noConversion"/>
  </si>
  <si>
    <t>3F3902</t>
    <phoneticPr fontId="40" type="noConversion"/>
  </si>
  <si>
    <t>3F39A1</t>
    <phoneticPr fontId="40" type="noConversion"/>
  </si>
  <si>
    <t>3F4601</t>
    <phoneticPr fontId="40" type="noConversion"/>
  </si>
  <si>
    <t>3FD015</t>
    <phoneticPr fontId="40" type="noConversion"/>
  </si>
  <si>
    <t>F4</t>
    <phoneticPr fontId="40" type="noConversion"/>
  </si>
  <si>
    <t>4F0601</t>
    <phoneticPr fontId="40" type="noConversion"/>
  </si>
  <si>
    <t>4F1301</t>
    <phoneticPr fontId="40" type="noConversion"/>
  </si>
  <si>
    <t>4F1401</t>
    <phoneticPr fontId="40" type="noConversion"/>
  </si>
  <si>
    <t>4F1702</t>
    <phoneticPr fontId="40" type="noConversion"/>
  </si>
  <si>
    <t>4F1902</t>
    <phoneticPr fontId="40" type="noConversion"/>
  </si>
  <si>
    <t>4F2201</t>
    <phoneticPr fontId="40" type="noConversion"/>
  </si>
  <si>
    <t>4F2502</t>
    <phoneticPr fontId="40" type="noConversion"/>
  </si>
  <si>
    <t>4F2602</t>
    <phoneticPr fontId="40" type="noConversion"/>
  </si>
  <si>
    <t>F5</t>
    <phoneticPr fontId="40" type="noConversion"/>
  </si>
  <si>
    <t>5F0101</t>
    <phoneticPr fontId="40" type="noConversion"/>
  </si>
  <si>
    <t>5F0202</t>
    <phoneticPr fontId="40" type="noConversion"/>
  </si>
  <si>
    <t>5F2002</t>
    <phoneticPr fontId="40" type="noConversion"/>
  </si>
  <si>
    <t>5F2901</t>
    <phoneticPr fontId="40" type="noConversion"/>
  </si>
  <si>
    <t>5F3001</t>
    <phoneticPr fontId="40" type="noConversion"/>
  </si>
  <si>
    <t>5FD005</t>
    <phoneticPr fontId="40" type="noConversion"/>
  </si>
  <si>
    <t>F6</t>
    <phoneticPr fontId="40" type="noConversion"/>
  </si>
  <si>
    <t>6F0501</t>
    <phoneticPr fontId="40" type="noConversion"/>
  </si>
  <si>
    <t>6F0601</t>
    <phoneticPr fontId="40" type="noConversion"/>
  </si>
  <si>
    <t>6F0801</t>
    <phoneticPr fontId="40" type="noConversion"/>
  </si>
  <si>
    <t>6F1001</t>
    <phoneticPr fontId="40" type="noConversion"/>
  </si>
  <si>
    <t>F7</t>
    <phoneticPr fontId="40" type="noConversion"/>
  </si>
  <si>
    <t>7F0301</t>
    <phoneticPr fontId="40" type="noConversion"/>
  </si>
  <si>
    <t>7F0401</t>
    <phoneticPr fontId="40" type="noConversion"/>
  </si>
  <si>
    <t>7F0701</t>
    <phoneticPr fontId="40" type="noConversion"/>
  </si>
  <si>
    <t>7F0801</t>
    <phoneticPr fontId="40" type="noConversion"/>
  </si>
  <si>
    <t>7F1002</t>
    <phoneticPr fontId="40" type="noConversion"/>
  </si>
  <si>
    <t>7F1201</t>
    <phoneticPr fontId="40" type="noConversion"/>
  </si>
  <si>
    <t>7F1401</t>
    <phoneticPr fontId="40" type="noConversion"/>
  </si>
  <si>
    <t>F8</t>
    <phoneticPr fontId="40" type="noConversion"/>
  </si>
  <si>
    <t>8F0102</t>
    <phoneticPr fontId="40" type="noConversion"/>
  </si>
  <si>
    <t>8F0201</t>
    <phoneticPr fontId="40" type="noConversion"/>
  </si>
  <si>
    <t>8F0401</t>
    <phoneticPr fontId="40" type="noConversion"/>
  </si>
  <si>
    <t>8F0501</t>
    <phoneticPr fontId="40" type="noConversion"/>
  </si>
  <si>
    <t>8F0601</t>
    <phoneticPr fontId="40" type="noConversion"/>
  </si>
  <si>
    <t>8F0701</t>
    <phoneticPr fontId="40" type="noConversion"/>
  </si>
  <si>
    <t>8F0801</t>
    <phoneticPr fontId="40" type="noConversion"/>
  </si>
  <si>
    <t>8F09B1</t>
    <phoneticPr fontId="40" type="noConversion"/>
  </si>
  <si>
    <t>8F2001</t>
    <phoneticPr fontId="40" type="noConversion"/>
  </si>
  <si>
    <t>8F2801</t>
    <phoneticPr fontId="40" type="noConversion"/>
  </si>
  <si>
    <t>8FZ011</t>
    <phoneticPr fontId="40" type="noConversion"/>
  </si>
  <si>
    <t>F9</t>
    <phoneticPr fontId="40" type="noConversion"/>
  </si>
  <si>
    <t>9F0101</t>
    <phoneticPr fontId="40" type="noConversion"/>
  </si>
  <si>
    <t>9F0201</t>
    <phoneticPr fontId="40" type="noConversion"/>
  </si>
  <si>
    <t>9F0501</t>
    <phoneticPr fontId="40" type="noConversion"/>
  </si>
  <si>
    <t>9FZ011</t>
    <phoneticPr fontId="40" type="noConversion"/>
  </si>
  <si>
    <t>B1</t>
    <phoneticPr fontId="40" type="noConversion"/>
  </si>
  <si>
    <t>B11003</t>
    <phoneticPr fontId="40" type="noConversion"/>
  </si>
  <si>
    <t>B11102</t>
    <phoneticPr fontId="40" type="noConversion"/>
  </si>
  <si>
    <t>B11303</t>
    <phoneticPr fontId="40" type="noConversion"/>
  </si>
  <si>
    <t>B12402</t>
    <phoneticPr fontId="40" type="noConversion"/>
  </si>
  <si>
    <t>B13001</t>
    <phoneticPr fontId="40" type="noConversion"/>
  </si>
  <si>
    <t>B16602</t>
    <phoneticPr fontId="40" type="noConversion"/>
  </si>
  <si>
    <t>B1Z011</t>
    <phoneticPr fontId="40" type="noConversion"/>
  </si>
  <si>
    <t>B2</t>
    <phoneticPr fontId="40" type="noConversion"/>
  </si>
  <si>
    <t>B20102</t>
    <phoneticPr fontId="40" type="noConversion"/>
  </si>
  <si>
    <t>总计</t>
    <phoneticPr fontId="40" type="noConversion"/>
  </si>
  <si>
    <t>相关分析：</t>
  </si>
  <si>
    <t>8F1702</t>
  </si>
  <si>
    <t>F8</t>
    <phoneticPr fontId="40" type="noConversion"/>
  </si>
  <si>
    <t>1F4601</t>
  </si>
  <si>
    <t>1F4601</t>
    <phoneticPr fontId="58" type="noConversion"/>
  </si>
  <si>
    <t>1F4601</t>
    <phoneticPr fontId="40" type="noConversion"/>
  </si>
  <si>
    <t>4F0202</t>
  </si>
  <si>
    <t>4F0202</t>
    <phoneticPr fontId="58" type="noConversion"/>
  </si>
  <si>
    <t>4F0202</t>
    <phoneticPr fontId="40" type="noConversion"/>
  </si>
  <si>
    <t>2FD012</t>
  </si>
  <si>
    <t>2FD012</t>
    <phoneticPr fontId="58" type="noConversion"/>
  </si>
  <si>
    <t>2FD012</t>
    <phoneticPr fontId="40" type="noConversion"/>
  </si>
  <si>
    <t>8FD005</t>
  </si>
  <si>
    <t>8FD005</t>
    <phoneticPr fontId="40" type="noConversion"/>
  </si>
  <si>
    <t>8FD005</t>
    <phoneticPr fontId="58" type="noConversion"/>
  </si>
  <si>
    <t>B14302</t>
  </si>
  <si>
    <t>4F0303</t>
    <phoneticPr fontId="58" type="noConversion"/>
  </si>
  <si>
    <t>5F1702</t>
    <phoneticPr fontId="58" type="noConversion"/>
  </si>
  <si>
    <t>4F0303</t>
    <phoneticPr fontId="40" type="noConversion"/>
  </si>
  <si>
    <t>5F1702</t>
    <phoneticPr fontId="40" type="noConversion"/>
  </si>
  <si>
    <t>4F0303</t>
  </si>
  <si>
    <t>5F1702</t>
  </si>
  <si>
    <t>3F2602</t>
  </si>
  <si>
    <t>3F2602</t>
    <phoneticPr fontId="58" type="noConversion"/>
  </si>
  <si>
    <t>当日销售</t>
  </si>
  <si>
    <t>排名</t>
    <phoneticPr fontId="40" type="noConversion"/>
  </si>
  <si>
    <t xml:space="preserve"> 主力商户排名</t>
    <phoneticPr fontId="40" type="noConversion"/>
  </si>
  <si>
    <t>6F2102</t>
  </si>
  <si>
    <t>6F2102</t>
    <phoneticPr fontId="58" type="noConversion"/>
  </si>
  <si>
    <t>6F21A1</t>
  </si>
  <si>
    <t>6F21A1</t>
    <phoneticPr fontId="58" type="noConversion"/>
  </si>
  <si>
    <t>6F2102</t>
    <phoneticPr fontId="40" type="noConversion"/>
  </si>
  <si>
    <t>6F21A1</t>
    <phoneticPr fontId="40" type="noConversion"/>
  </si>
  <si>
    <t>2FD013</t>
  </si>
  <si>
    <t>2FD013</t>
    <phoneticPr fontId="40" type="noConversion"/>
  </si>
  <si>
    <t>异动指数</t>
  </si>
  <si>
    <t>4F3502</t>
  </si>
  <si>
    <t>4F3502</t>
    <phoneticPr fontId="58" type="noConversion"/>
  </si>
  <si>
    <t>F4</t>
    <phoneticPr fontId="40" type="noConversion"/>
  </si>
  <si>
    <t>4F3502</t>
    <phoneticPr fontId="40" type="noConversion"/>
  </si>
  <si>
    <t>B17302</t>
  </si>
  <si>
    <t>B17302</t>
    <phoneticPr fontId="58" type="noConversion"/>
  </si>
  <si>
    <t>B17302</t>
    <phoneticPr fontId="40" type="noConversion"/>
  </si>
  <si>
    <t>2F340B</t>
  </si>
  <si>
    <t>5FD014</t>
  </si>
  <si>
    <t>8FD004</t>
  </si>
  <si>
    <t>1FZ081</t>
  </si>
  <si>
    <t>1FZ081</t>
    <phoneticPr fontId="40" type="noConversion"/>
  </si>
  <si>
    <t>8F14B2</t>
    <phoneticPr fontId="58" type="noConversion"/>
  </si>
  <si>
    <t>8F14B2</t>
    <phoneticPr fontId="40" type="noConversion"/>
  </si>
  <si>
    <t>B10502</t>
  </si>
  <si>
    <t>B10502</t>
    <phoneticPr fontId="40" type="noConversion"/>
  </si>
  <si>
    <t>B10502</t>
    <phoneticPr fontId="58" type="noConversion"/>
  </si>
  <si>
    <t>8F14B2</t>
  </si>
  <si>
    <t>2F3802</t>
  </si>
  <si>
    <t>6F16B1</t>
  </si>
  <si>
    <t>6F16A1</t>
  </si>
  <si>
    <t>6F16B1</t>
    <phoneticPr fontId="40" type="noConversion"/>
  </si>
  <si>
    <t>6F16A1</t>
    <phoneticPr fontId="40" type="noConversion"/>
  </si>
  <si>
    <t>4FD022</t>
  </si>
  <si>
    <t>2F3002</t>
  </si>
  <si>
    <t>2F3002</t>
    <phoneticPr fontId="58" type="noConversion"/>
  </si>
  <si>
    <t>4FD022</t>
    <phoneticPr fontId="40" type="noConversion"/>
  </si>
  <si>
    <t>2FD014</t>
  </si>
  <si>
    <t>2FD014</t>
    <phoneticPr fontId="40" type="noConversion"/>
  </si>
  <si>
    <t>2FD014</t>
    <phoneticPr fontId="58" type="noConversion"/>
  </si>
  <si>
    <t>2F3101</t>
  </si>
  <si>
    <t>2F3101</t>
    <phoneticPr fontId="58" type="noConversion"/>
  </si>
  <si>
    <t>2F3101</t>
    <phoneticPr fontId="40" type="noConversion"/>
  </si>
  <si>
    <t>2F2501</t>
  </si>
  <si>
    <t>2F2501</t>
    <phoneticPr fontId="58" type="noConversion"/>
  </si>
  <si>
    <t>3F0202</t>
  </si>
  <si>
    <t>3F0202</t>
    <phoneticPr fontId="58" type="noConversion"/>
  </si>
  <si>
    <t>3F0202</t>
    <phoneticPr fontId="40" type="noConversion"/>
  </si>
  <si>
    <t>2F2501</t>
    <phoneticPr fontId="40" type="noConversion"/>
  </si>
  <si>
    <t>B12503</t>
  </si>
  <si>
    <t>B12503</t>
    <phoneticPr fontId="40" type="noConversion"/>
  </si>
  <si>
    <t>2F2601</t>
    <phoneticPr fontId="58" type="noConversion"/>
  </si>
  <si>
    <t>2F5002</t>
    <phoneticPr fontId="58" type="noConversion"/>
  </si>
  <si>
    <t>2F2601</t>
    <phoneticPr fontId="40" type="noConversion"/>
  </si>
  <si>
    <t>2F5002</t>
    <phoneticPr fontId="40" type="noConversion"/>
  </si>
  <si>
    <t>2F2601</t>
  </si>
  <si>
    <t>2F5002</t>
  </si>
  <si>
    <t>B12503</t>
    <phoneticPr fontId="58" type="noConversion"/>
  </si>
  <si>
    <t>2F12A2</t>
  </si>
  <si>
    <t>2F12A2</t>
    <phoneticPr fontId="58" type="noConversion"/>
  </si>
  <si>
    <t>2F12A2</t>
    <phoneticPr fontId="40" type="noConversion"/>
  </si>
  <si>
    <t>3F2202</t>
  </si>
  <si>
    <t>3F2202</t>
    <phoneticPr fontId="58" type="noConversion"/>
  </si>
  <si>
    <t>3F2202</t>
    <phoneticPr fontId="40" type="noConversion"/>
  </si>
  <si>
    <t>1FZ101</t>
  </si>
  <si>
    <t>1FZ101</t>
    <phoneticPr fontId="58" type="noConversion"/>
  </si>
  <si>
    <t>2F6601</t>
  </si>
  <si>
    <t>2F6601</t>
    <phoneticPr fontId="58" type="noConversion"/>
  </si>
  <si>
    <t>4FD023</t>
  </si>
  <si>
    <t>2F6601</t>
    <phoneticPr fontId="40" type="noConversion"/>
  </si>
  <si>
    <t>B15102</t>
  </si>
  <si>
    <t>3F2002</t>
    <phoneticPr fontId="58" type="noConversion"/>
  </si>
  <si>
    <t>3F2002</t>
    <phoneticPr fontId="40" type="noConversion"/>
  </si>
  <si>
    <t>4F5102</t>
  </si>
  <si>
    <t>4F5102</t>
    <phoneticPr fontId="58" type="noConversion"/>
  </si>
  <si>
    <t>B14802</t>
  </si>
  <si>
    <t>B14802</t>
    <phoneticPr fontId="58" type="noConversion"/>
  </si>
  <si>
    <t>B14802</t>
    <phoneticPr fontId="40" type="noConversion"/>
  </si>
  <si>
    <t>4F5102</t>
    <phoneticPr fontId="40" type="noConversion"/>
  </si>
  <si>
    <t>8F09C1</t>
  </si>
  <si>
    <t>8F09C1</t>
    <phoneticPr fontId="58" type="noConversion"/>
  </si>
  <si>
    <t>8F09C1</t>
    <phoneticPr fontId="40" type="noConversion"/>
  </si>
  <si>
    <t xml:space="preserve"> 当日销售情况（万元）</t>
  </si>
  <si>
    <t>8F09A1</t>
  </si>
  <si>
    <t>8F09A1</t>
    <phoneticPr fontId="40" type="noConversion"/>
  </si>
  <si>
    <t>8F09A1</t>
    <phoneticPr fontId="58" type="noConversion"/>
  </si>
  <si>
    <t>8F09B1</t>
    <phoneticPr fontId="40" type="noConversion"/>
  </si>
  <si>
    <t>B13403</t>
  </si>
  <si>
    <t>B13403</t>
    <phoneticPr fontId="58" type="noConversion"/>
  </si>
  <si>
    <t>B13403</t>
    <phoneticPr fontId="40" type="noConversion"/>
  </si>
  <si>
    <t>3F2702</t>
  </si>
  <si>
    <t>3F2702</t>
    <phoneticPr fontId="58" type="noConversion"/>
  </si>
  <si>
    <t>3F2702</t>
    <phoneticPr fontId="40" type="noConversion"/>
  </si>
  <si>
    <t>2F6701</t>
  </si>
  <si>
    <t>2F6701</t>
    <phoneticPr fontId="58" type="noConversion"/>
  </si>
  <si>
    <t>2F6701</t>
    <phoneticPr fontId="40" type="noConversion"/>
  </si>
  <si>
    <t>B17501</t>
  </si>
  <si>
    <t>B17501</t>
    <phoneticPr fontId="58" type="noConversion"/>
  </si>
  <si>
    <t>B17501</t>
    <phoneticPr fontId="40" type="noConversion"/>
  </si>
  <si>
    <t>4FD022</t>
    <phoneticPr fontId="58" type="noConversion"/>
  </si>
  <si>
    <t>3F2002</t>
  </si>
  <si>
    <t>3F0603</t>
  </si>
  <si>
    <t>3F0603</t>
    <phoneticPr fontId="58" type="noConversion"/>
  </si>
  <si>
    <t>3F0603</t>
    <phoneticPr fontId="40" type="noConversion"/>
  </si>
  <si>
    <t>2FD017</t>
  </si>
  <si>
    <t>2FD015</t>
  </si>
  <si>
    <t>2F6301</t>
  </si>
  <si>
    <t>2FD016</t>
  </si>
  <si>
    <t>2F6301</t>
    <phoneticPr fontId="40" type="noConversion"/>
  </si>
  <si>
    <t>2FD016</t>
    <phoneticPr fontId="40" type="noConversion"/>
  </si>
  <si>
    <t>B14203</t>
  </si>
  <si>
    <t>B14203</t>
    <phoneticPr fontId="58" type="noConversion"/>
  </si>
  <si>
    <t>B14203</t>
    <phoneticPr fontId="40" type="noConversion"/>
  </si>
  <si>
    <t>2F6501</t>
  </si>
  <si>
    <t>2F6501</t>
    <phoneticPr fontId="58" type="noConversion"/>
  </si>
  <si>
    <t>2F1601</t>
  </si>
  <si>
    <t>2F1601</t>
    <phoneticPr fontId="58" type="noConversion"/>
  </si>
  <si>
    <t>2F6501</t>
    <phoneticPr fontId="40" type="noConversion"/>
  </si>
  <si>
    <t>2F1601</t>
    <phoneticPr fontId="40" type="noConversion"/>
  </si>
  <si>
    <t>1F2202</t>
  </si>
  <si>
    <t>1F2202</t>
    <phoneticPr fontId="58" type="noConversion"/>
  </si>
  <si>
    <t>1F2202</t>
    <phoneticPr fontId="40" type="noConversion"/>
  </si>
  <si>
    <t>1F2302</t>
  </si>
  <si>
    <t>1F2302</t>
    <phoneticPr fontId="58" type="noConversion"/>
  </si>
  <si>
    <t>1F2302</t>
    <phoneticPr fontId="40" type="noConversion"/>
  </si>
  <si>
    <t>4F3902</t>
  </si>
  <si>
    <t>4F3902</t>
    <phoneticPr fontId="58" type="noConversion"/>
  </si>
  <si>
    <t>4F3902</t>
    <phoneticPr fontId="40" type="noConversion"/>
  </si>
  <si>
    <t>1F0902</t>
  </si>
  <si>
    <t>1F0902</t>
    <phoneticPr fontId="58" type="noConversion"/>
  </si>
  <si>
    <t>1F0902</t>
    <phoneticPr fontId="40" type="noConversion"/>
  </si>
  <si>
    <t>3F2501</t>
  </si>
  <si>
    <t>3F2501</t>
    <phoneticPr fontId="58" type="noConversion"/>
  </si>
  <si>
    <t>F3</t>
    <phoneticPr fontId="40" type="noConversion"/>
  </si>
  <si>
    <t>3F2501</t>
    <phoneticPr fontId="40" type="noConversion"/>
  </si>
  <si>
    <t>4F0802</t>
    <phoneticPr fontId="40" type="noConversion"/>
  </si>
  <si>
    <t>4F0802</t>
  </si>
  <si>
    <t>2013.7.6</t>
  </si>
  <si>
    <t>2013.12.14</t>
    <phoneticPr fontId="40" type="noConversion"/>
  </si>
  <si>
    <t xml:space="preserve"> </t>
    <phoneticPr fontId="40" type="noConversion"/>
  </si>
  <si>
    <t>1F0402</t>
  </si>
  <si>
    <t>1F0402</t>
    <phoneticPr fontId="40" type="noConversion"/>
  </si>
  <si>
    <t>B17402</t>
  </si>
  <si>
    <t>B17402</t>
    <phoneticPr fontId="40" type="noConversion"/>
  </si>
  <si>
    <t>B17402</t>
    <phoneticPr fontId="58" type="noConversion"/>
  </si>
  <si>
    <t>8FD006</t>
  </si>
  <si>
    <t>2F08B1</t>
  </si>
  <si>
    <t>2F08B1</t>
    <phoneticPr fontId="58" type="noConversion"/>
  </si>
  <si>
    <t>2F08B1</t>
    <phoneticPr fontId="40" type="noConversion"/>
  </si>
  <si>
    <t>剩余</t>
    <phoneticPr fontId="40" type="noConversion"/>
  </si>
  <si>
    <t>2F08A1</t>
  </si>
  <si>
    <t>2F08A1</t>
    <phoneticPr fontId="58" type="noConversion"/>
  </si>
  <si>
    <t>2F08A1</t>
    <phoneticPr fontId="40" type="noConversion"/>
  </si>
  <si>
    <t>7F15A1</t>
  </si>
  <si>
    <t>7F15A1</t>
    <phoneticPr fontId="58" type="noConversion"/>
  </si>
  <si>
    <t>7F15A1</t>
    <phoneticPr fontId="40" type="noConversion"/>
  </si>
  <si>
    <t>店铺号</t>
    <phoneticPr fontId="40" type="noConversion"/>
  </si>
  <si>
    <t>品牌</t>
    <phoneticPr fontId="58" type="noConversion"/>
  </si>
  <si>
    <t xml:space="preserve"> 3F 商户销售情况</t>
    <phoneticPr fontId="40" type="noConversion"/>
  </si>
  <si>
    <t>2FD016</t>
    <phoneticPr fontId="40" type="noConversion"/>
  </si>
  <si>
    <t>2FD015</t>
    <phoneticPr fontId="40" type="noConversion"/>
  </si>
  <si>
    <t>7F1602</t>
  </si>
  <si>
    <t>7F1602</t>
    <phoneticPr fontId="58" type="noConversion"/>
  </si>
  <si>
    <t>7F1602</t>
    <phoneticPr fontId="40" type="noConversion"/>
  </si>
  <si>
    <t>3FD023</t>
  </si>
  <si>
    <t>3FD023</t>
    <phoneticPr fontId="40" type="noConversion"/>
  </si>
  <si>
    <t>B15601</t>
  </si>
  <si>
    <t>B15601</t>
    <phoneticPr fontId="40" type="noConversion"/>
  </si>
  <si>
    <t>B15601</t>
    <phoneticPr fontId="58" type="noConversion"/>
  </si>
  <si>
    <t>3FD023</t>
    <phoneticPr fontId="58" type="noConversion"/>
  </si>
  <si>
    <r>
      <t xml:space="preserve"> </t>
    </r>
    <r>
      <rPr>
        <sz val="12"/>
        <rFont val="宋体"/>
        <family val="3"/>
        <charset val="134"/>
      </rPr>
      <t xml:space="preserve"> </t>
    </r>
    <phoneticPr fontId="40" type="noConversion"/>
  </si>
  <si>
    <t>1FD013</t>
  </si>
  <si>
    <t>3FD025</t>
  </si>
  <si>
    <t>3FD025</t>
    <phoneticPr fontId="58" type="noConversion"/>
  </si>
  <si>
    <t>3FD026</t>
  </si>
  <si>
    <t>8F1801</t>
  </si>
  <si>
    <t>8F1801</t>
    <phoneticPr fontId="58" type="noConversion"/>
  </si>
  <si>
    <t>8F1801</t>
    <phoneticPr fontId="40" type="noConversion"/>
  </si>
  <si>
    <t>短信
（何总、周总、罗总、郑总、张总、昱总、张宇明、段总、彭刚、魏志国、熊倩晖、徐臻、张岩）</t>
    <phoneticPr fontId="40" type="noConversion"/>
  </si>
  <si>
    <t>增幅</t>
    <phoneticPr fontId="40" type="noConversion"/>
  </si>
  <si>
    <t>B15002</t>
  </si>
  <si>
    <t>7F1801</t>
    <phoneticPr fontId="40" type="noConversion"/>
  </si>
  <si>
    <t>2014.4.20</t>
    <phoneticPr fontId="40" type="noConversion"/>
  </si>
  <si>
    <t>3FD024</t>
  </si>
  <si>
    <t>B15903</t>
  </si>
  <si>
    <t>B15903</t>
    <phoneticPr fontId="58" type="noConversion"/>
  </si>
  <si>
    <t>B15903</t>
    <phoneticPr fontId="40" type="noConversion"/>
  </si>
  <si>
    <t>2014.5.2</t>
    <phoneticPr fontId="40" type="noConversion"/>
  </si>
  <si>
    <t>8F10C1</t>
  </si>
  <si>
    <t>8F10C1</t>
    <phoneticPr fontId="58" type="noConversion"/>
  </si>
  <si>
    <t>8F10C1</t>
    <phoneticPr fontId="40" type="noConversion"/>
  </si>
  <si>
    <t>1F10B1</t>
  </si>
  <si>
    <t>8F10A1</t>
  </si>
  <si>
    <t>8F10A1</t>
    <phoneticPr fontId="40" type="noConversion"/>
  </si>
  <si>
    <t>8F10A1</t>
    <phoneticPr fontId="58" type="noConversion"/>
  </si>
  <si>
    <t>1F10B1</t>
    <phoneticPr fontId="58" type="noConversion"/>
  </si>
  <si>
    <t>8F10B1</t>
  </si>
  <si>
    <t>8F10B1</t>
    <phoneticPr fontId="40" type="noConversion"/>
  </si>
  <si>
    <t>5F1203</t>
  </si>
  <si>
    <t>5F1203</t>
    <phoneticPr fontId="58" type="noConversion"/>
  </si>
  <si>
    <t>5F1203</t>
    <phoneticPr fontId="40" type="noConversion"/>
  </si>
  <si>
    <t>3FD026</t>
    <phoneticPr fontId="58" type="noConversion"/>
  </si>
  <si>
    <t>7F1301</t>
  </si>
  <si>
    <t>5F2103</t>
  </si>
  <si>
    <t>7F1301</t>
    <phoneticPr fontId="40" type="noConversion"/>
  </si>
  <si>
    <t>5F2103</t>
    <phoneticPr fontId="40" type="noConversion"/>
  </si>
  <si>
    <t>5F2103</t>
    <phoneticPr fontId="58" type="noConversion"/>
  </si>
  <si>
    <t>7F1301</t>
    <phoneticPr fontId="58" type="noConversion"/>
  </si>
  <si>
    <t>B11902</t>
  </si>
  <si>
    <t>B16202</t>
  </si>
  <si>
    <t>B11603</t>
  </si>
  <si>
    <t>5FD015</t>
  </si>
  <si>
    <t>5FD015</t>
    <phoneticPr fontId="58" type="noConversion"/>
  </si>
  <si>
    <t>5FD015</t>
    <phoneticPr fontId="40" type="noConversion"/>
  </si>
  <si>
    <t>B11502</t>
  </si>
  <si>
    <t>B11502</t>
    <phoneticPr fontId="40" type="noConversion"/>
  </si>
  <si>
    <t>5月底冻结死卡会员数</t>
    <phoneticPr fontId="40" type="noConversion"/>
  </si>
  <si>
    <t>2F2302</t>
  </si>
  <si>
    <t>2F2302</t>
    <phoneticPr fontId="40" type="noConversion"/>
  </si>
  <si>
    <t>6F0401</t>
  </si>
  <si>
    <t>6F0401</t>
    <phoneticPr fontId="58" type="noConversion"/>
  </si>
  <si>
    <t>6F0401</t>
    <phoneticPr fontId="40" type="noConversion"/>
  </si>
  <si>
    <t>6F04A1</t>
    <phoneticPr fontId="58" type="noConversion"/>
  </si>
  <si>
    <t>6F04A1</t>
    <phoneticPr fontId="40" type="noConversion"/>
  </si>
  <si>
    <t>6F04A1</t>
  </si>
  <si>
    <t>B13203</t>
  </si>
  <si>
    <t>B10302</t>
    <phoneticPr fontId="58" type="noConversion"/>
  </si>
  <si>
    <t>B10302</t>
    <phoneticPr fontId="40" type="noConversion"/>
  </si>
  <si>
    <t>B10302</t>
  </si>
  <si>
    <t>4FD029</t>
  </si>
  <si>
    <t>6F0902</t>
    <phoneticPr fontId="58" type="noConversion"/>
  </si>
  <si>
    <t>6F0902</t>
    <phoneticPr fontId="40" type="noConversion"/>
  </si>
  <si>
    <t>6F0902</t>
  </si>
  <si>
    <t>2F0403</t>
  </si>
  <si>
    <t>2F0403</t>
    <phoneticPr fontId="40" type="noConversion"/>
  </si>
  <si>
    <t>B11705</t>
  </si>
  <si>
    <t>B11705</t>
    <phoneticPr fontId="58" type="noConversion"/>
  </si>
  <si>
    <t>B16502</t>
  </si>
  <si>
    <t>B16502</t>
    <phoneticPr fontId="58" type="noConversion"/>
  </si>
  <si>
    <t>B16502</t>
    <phoneticPr fontId="40" type="noConversion"/>
  </si>
  <si>
    <t>1F4801</t>
  </si>
  <si>
    <t>4F4401</t>
    <phoneticPr fontId="58" type="noConversion"/>
  </si>
  <si>
    <t>4F4401</t>
    <phoneticPr fontId="40" type="noConversion"/>
  </si>
  <si>
    <t>4F4401</t>
  </si>
  <si>
    <t>3F4502</t>
    <phoneticPr fontId="58" type="noConversion"/>
  </si>
  <si>
    <t>3F4502</t>
    <phoneticPr fontId="40" type="noConversion"/>
  </si>
  <si>
    <t>3F4502</t>
  </si>
  <si>
    <t>4F3802</t>
    <phoneticPr fontId="58" type="noConversion"/>
  </si>
  <si>
    <t>4F3802</t>
    <phoneticPr fontId="40" type="noConversion"/>
  </si>
  <si>
    <t>4F3802</t>
  </si>
  <si>
    <t>7F0102</t>
  </si>
  <si>
    <t>7F0102</t>
    <phoneticPr fontId="40" type="noConversion"/>
  </si>
  <si>
    <t>7F0102</t>
    <phoneticPr fontId="58" type="noConversion"/>
  </si>
  <si>
    <t>5F0603</t>
    <phoneticPr fontId="58" type="noConversion"/>
  </si>
  <si>
    <t>5F0603</t>
    <phoneticPr fontId="40" type="noConversion"/>
  </si>
  <si>
    <t>5F0603</t>
  </si>
  <si>
    <t>1F10A1</t>
    <phoneticPr fontId="58" type="noConversion"/>
  </si>
  <si>
    <t>1F10A1</t>
  </si>
  <si>
    <t>3F3101</t>
  </si>
  <si>
    <t>3F3101</t>
    <phoneticPr fontId="58" type="noConversion"/>
  </si>
  <si>
    <t>3F3101</t>
    <phoneticPr fontId="40" type="noConversion"/>
  </si>
  <si>
    <t>2F4402</t>
  </si>
  <si>
    <t>2F4402</t>
    <phoneticPr fontId="58" type="noConversion"/>
  </si>
  <si>
    <t>2F4402</t>
    <phoneticPr fontId="40" type="noConversion"/>
  </si>
  <si>
    <t>1F0501</t>
    <phoneticPr fontId="58" type="noConversion"/>
  </si>
  <si>
    <t>1F0501</t>
    <phoneticPr fontId="40" type="noConversion"/>
  </si>
  <si>
    <t>3F5401</t>
    <phoneticPr fontId="58" type="noConversion"/>
  </si>
  <si>
    <t>3F5401</t>
    <phoneticPr fontId="40" type="noConversion"/>
  </si>
  <si>
    <t>1F0501</t>
  </si>
  <si>
    <t>3F5401</t>
  </si>
  <si>
    <t>4F3202</t>
    <phoneticPr fontId="58" type="noConversion"/>
  </si>
  <si>
    <t>2F7101</t>
    <phoneticPr fontId="58" type="noConversion"/>
  </si>
  <si>
    <t>3F5501</t>
    <phoneticPr fontId="58" type="noConversion"/>
  </si>
  <si>
    <t>5F0803</t>
    <phoneticPr fontId="58" type="noConversion"/>
  </si>
  <si>
    <t>5F0803</t>
    <phoneticPr fontId="40" type="noConversion"/>
  </si>
  <si>
    <t>3F5501</t>
    <phoneticPr fontId="40" type="noConversion"/>
  </si>
  <si>
    <t>2F7101</t>
    <phoneticPr fontId="40" type="noConversion"/>
  </si>
  <si>
    <t>4F3202</t>
    <phoneticPr fontId="40" type="noConversion"/>
  </si>
  <si>
    <t>6F0701</t>
    <phoneticPr fontId="58" type="noConversion"/>
  </si>
  <si>
    <t>6F0701</t>
    <phoneticPr fontId="40" type="noConversion"/>
  </si>
  <si>
    <t>2F7101</t>
  </si>
  <si>
    <t>3F5501</t>
  </si>
  <si>
    <t>4F3202</t>
  </si>
  <si>
    <t>5F0803</t>
  </si>
  <si>
    <t>6F0701</t>
  </si>
  <si>
    <t>7F1401</t>
    <phoneticPr fontId="40" type="noConversion"/>
  </si>
  <si>
    <t>7F15C1</t>
  </si>
  <si>
    <t>7F15C1</t>
    <phoneticPr fontId="58" type="noConversion"/>
  </si>
  <si>
    <t>7F15C1</t>
    <phoneticPr fontId="40" type="noConversion"/>
  </si>
  <si>
    <t>7F15B1</t>
    <phoneticPr fontId="40" type="noConversion"/>
  </si>
  <si>
    <t>5F2203</t>
    <phoneticPr fontId="40" type="noConversion"/>
  </si>
  <si>
    <t>5F2203</t>
    <phoneticPr fontId="58" type="noConversion"/>
  </si>
  <si>
    <t>5F2203</t>
  </si>
  <si>
    <t>7F15B1</t>
  </si>
  <si>
    <t>7F15B1</t>
    <phoneticPr fontId="58" type="noConversion"/>
  </si>
  <si>
    <t>2F3802</t>
    <phoneticPr fontId="40" type="noConversion"/>
  </si>
  <si>
    <t>1F4901</t>
  </si>
  <si>
    <t>1F4901</t>
    <phoneticPr fontId="40" type="noConversion"/>
  </si>
  <si>
    <t>1F4901</t>
    <phoneticPr fontId="58" type="noConversion"/>
  </si>
  <si>
    <t>B13803</t>
  </si>
  <si>
    <t>2F340B</t>
    <phoneticPr fontId="58" type="noConversion"/>
  </si>
  <si>
    <t>2F340B</t>
    <phoneticPr fontId="40" type="noConversion"/>
  </si>
  <si>
    <t>2F0103</t>
  </si>
  <si>
    <t>2F0103</t>
    <phoneticPr fontId="58" type="noConversion"/>
  </si>
  <si>
    <t>2F0103</t>
    <phoneticPr fontId="40" type="noConversion"/>
  </si>
  <si>
    <t>3F3902</t>
    <phoneticPr fontId="58" type="noConversion"/>
  </si>
  <si>
    <t>3F39A1</t>
    <phoneticPr fontId="58" type="noConversion"/>
  </si>
  <si>
    <t>5F1903</t>
    <phoneticPr fontId="58" type="noConversion"/>
  </si>
  <si>
    <t>5F19A1</t>
    <phoneticPr fontId="58" type="noConversion"/>
  </si>
  <si>
    <t>9F0501</t>
    <phoneticPr fontId="58" type="noConversion"/>
  </si>
  <si>
    <t>3F3701</t>
    <phoneticPr fontId="58" type="noConversion"/>
  </si>
  <si>
    <t>1F10B1</t>
    <phoneticPr fontId="40" type="noConversion"/>
  </si>
  <si>
    <t>1F10A1</t>
    <phoneticPr fontId="40" type="noConversion"/>
  </si>
  <si>
    <t>5F1903</t>
    <phoneticPr fontId="40" type="noConversion"/>
  </si>
  <si>
    <t>5F19A1</t>
    <phoneticPr fontId="40" type="noConversion"/>
  </si>
  <si>
    <t>3F5301</t>
    <phoneticPr fontId="40" type="noConversion"/>
  </si>
  <si>
    <t>3F5301</t>
    <phoneticPr fontId="58" type="noConversion"/>
  </si>
  <si>
    <t>3F5301</t>
  </si>
  <si>
    <t>8FD007</t>
  </si>
  <si>
    <t>4F2303</t>
  </si>
  <si>
    <t>3F1503</t>
    <phoneticPr fontId="40" type="noConversion"/>
  </si>
  <si>
    <t>3F1503</t>
    <phoneticPr fontId="58" type="noConversion"/>
  </si>
  <si>
    <t>3F1503</t>
  </si>
  <si>
    <t>3F5202</t>
  </si>
  <si>
    <t>3F5202</t>
    <phoneticPr fontId="40" type="noConversion"/>
  </si>
  <si>
    <t>5FD018</t>
  </si>
  <si>
    <t>2F0203</t>
  </si>
  <si>
    <t>2F0203</t>
    <phoneticPr fontId="58" type="noConversion"/>
  </si>
  <si>
    <t>F2</t>
    <phoneticPr fontId="40" type="noConversion"/>
  </si>
  <si>
    <t>2F0203</t>
    <phoneticPr fontId="40" type="noConversion"/>
  </si>
  <si>
    <t>5F0503</t>
    <phoneticPr fontId="58" type="noConversion"/>
  </si>
  <si>
    <t>5F0503</t>
    <phoneticPr fontId="40" type="noConversion"/>
  </si>
  <si>
    <t>2F0304</t>
    <phoneticPr fontId="40" type="noConversion"/>
  </si>
  <si>
    <t>2F0304</t>
    <phoneticPr fontId="58" type="noConversion"/>
  </si>
  <si>
    <t>2F0304</t>
  </si>
  <si>
    <t>5F0503</t>
  </si>
  <si>
    <t>6FD002</t>
  </si>
  <si>
    <t>B12703</t>
    <phoneticPr fontId="40" type="noConversion"/>
  </si>
  <si>
    <t>B12703</t>
    <phoneticPr fontId="58" type="noConversion"/>
  </si>
  <si>
    <t>B12703</t>
  </si>
  <si>
    <t>3F1301</t>
    <phoneticPr fontId="58" type="noConversion"/>
  </si>
  <si>
    <t>3F1301</t>
    <phoneticPr fontId="40" type="noConversion"/>
  </si>
  <si>
    <t>8F1501</t>
    <phoneticPr fontId="40" type="noConversion"/>
  </si>
  <si>
    <t>8F1501</t>
    <phoneticPr fontId="58" type="noConversion"/>
  </si>
  <si>
    <t>3F1301</t>
  </si>
  <si>
    <t>8F1501</t>
  </si>
  <si>
    <t>4FD031</t>
    <phoneticPr fontId="40" type="noConversion"/>
  </si>
  <si>
    <t>4FD031</t>
  </si>
  <si>
    <t>1F1402</t>
    <phoneticPr fontId="40" type="noConversion"/>
  </si>
  <si>
    <t>1F1402</t>
    <phoneticPr fontId="58" type="noConversion"/>
  </si>
  <si>
    <t>1F1402</t>
  </si>
  <si>
    <t>4F01A2</t>
    <phoneticPr fontId="40" type="noConversion"/>
  </si>
  <si>
    <t>4F01A2</t>
    <phoneticPr fontId="58" type="noConversion"/>
  </si>
  <si>
    <t>4F01A2</t>
  </si>
  <si>
    <t>3F3002</t>
  </si>
  <si>
    <t>3F3002</t>
    <phoneticPr fontId="40" type="noConversion"/>
  </si>
  <si>
    <t>3F3002</t>
    <phoneticPr fontId="58" type="noConversion"/>
  </si>
  <si>
    <t>4F2602</t>
    <phoneticPr fontId="58" type="noConversion"/>
  </si>
  <si>
    <t>4FD023</t>
    <phoneticPr fontId="40" type="noConversion"/>
  </si>
  <si>
    <t>5F2803</t>
  </si>
  <si>
    <t>6F2301</t>
    <phoneticPr fontId="40" type="noConversion"/>
  </si>
  <si>
    <t>6F2301</t>
    <phoneticPr fontId="58" type="noConversion"/>
  </si>
  <si>
    <t>5F2803</t>
    <phoneticPr fontId="40" type="noConversion"/>
  </si>
  <si>
    <t>5F2803</t>
    <phoneticPr fontId="58" type="noConversion"/>
  </si>
  <si>
    <t>5FD019</t>
  </si>
  <si>
    <t>3F5102</t>
    <phoneticPr fontId="40" type="noConversion"/>
  </si>
  <si>
    <t>3F5102</t>
    <phoneticPr fontId="58" type="noConversion"/>
  </si>
  <si>
    <t>3F5102</t>
  </si>
  <si>
    <t>3FD032</t>
  </si>
  <si>
    <t>B14403</t>
  </si>
  <si>
    <t>2F0603</t>
    <phoneticPr fontId="40" type="noConversion"/>
  </si>
  <si>
    <t>2F0603</t>
    <phoneticPr fontId="58" type="noConversion"/>
  </si>
  <si>
    <t>2F0603</t>
  </si>
  <si>
    <t>4F04A2</t>
    <phoneticPr fontId="40" type="noConversion"/>
  </si>
  <si>
    <t>4F04A2</t>
    <phoneticPr fontId="58" type="noConversion"/>
  </si>
  <si>
    <t>4F04A2</t>
  </si>
  <si>
    <t>B16403</t>
    <phoneticPr fontId="58" type="noConversion"/>
  </si>
  <si>
    <t>B16403</t>
    <phoneticPr fontId="40" type="noConversion"/>
  </si>
  <si>
    <t>3F0403</t>
    <phoneticPr fontId="40" type="noConversion"/>
  </si>
  <si>
    <t>3F0403</t>
    <phoneticPr fontId="58" type="noConversion"/>
  </si>
  <si>
    <t>B16403</t>
  </si>
  <si>
    <t>3F0403</t>
  </si>
  <si>
    <t>B10603</t>
    <phoneticPr fontId="58" type="noConversion"/>
  </si>
  <si>
    <t>B10603</t>
    <phoneticPr fontId="40" type="noConversion"/>
  </si>
  <si>
    <t>6F2001</t>
    <phoneticPr fontId="58" type="noConversion"/>
  </si>
  <si>
    <t>6F2001</t>
    <phoneticPr fontId="40" type="noConversion"/>
  </si>
  <si>
    <t>B10603</t>
  </si>
  <si>
    <t>6F2001</t>
  </si>
  <si>
    <t>4F0902</t>
  </si>
  <si>
    <t>4F0902</t>
    <phoneticPr fontId="58" type="noConversion"/>
  </si>
  <si>
    <t>4F5303</t>
    <phoneticPr fontId="40" type="noConversion"/>
  </si>
  <si>
    <t>4F5303</t>
    <phoneticPr fontId="58" type="noConversion"/>
  </si>
  <si>
    <t>4F5303</t>
  </si>
  <si>
    <t>4F10A2</t>
    <phoneticPr fontId="58" type="noConversion"/>
  </si>
  <si>
    <t>4F10A2</t>
    <phoneticPr fontId="40" type="noConversion"/>
  </si>
  <si>
    <t>4F10A2</t>
  </si>
  <si>
    <t>4F09A1</t>
    <phoneticPr fontId="58" type="noConversion"/>
  </si>
  <si>
    <t>4F09A1</t>
    <phoneticPr fontId="40" type="noConversion"/>
  </si>
  <si>
    <t>8F1601</t>
    <phoneticPr fontId="40" type="noConversion"/>
  </si>
  <si>
    <t>8F1601</t>
    <phoneticPr fontId="58" type="noConversion"/>
  </si>
  <si>
    <t>4F09A1</t>
  </si>
  <si>
    <t>8F1601</t>
  </si>
  <si>
    <t>4F4603</t>
  </si>
  <si>
    <t>4F1804</t>
  </si>
  <si>
    <t>4F4603</t>
    <phoneticPr fontId="58" type="noConversion"/>
  </si>
  <si>
    <t>4F1804</t>
    <phoneticPr fontId="58" type="noConversion"/>
  </si>
  <si>
    <t>4F4603</t>
    <phoneticPr fontId="40" type="noConversion"/>
  </si>
  <si>
    <t>4F1804</t>
    <phoneticPr fontId="40" type="noConversion"/>
  </si>
  <si>
    <t>8F15A1</t>
  </si>
  <si>
    <t>8F15A1</t>
    <phoneticPr fontId="58" type="noConversion"/>
  </si>
  <si>
    <t>8F15A1</t>
    <phoneticPr fontId="40" type="noConversion"/>
  </si>
  <si>
    <t>6F0101</t>
  </si>
  <si>
    <t>6F2201</t>
  </si>
  <si>
    <t xml:space="preserve"> </t>
    <phoneticPr fontId="40" type="noConversion"/>
  </si>
  <si>
    <t>1F1301</t>
    <phoneticPr fontId="58" type="noConversion"/>
  </si>
  <si>
    <t>7F1103</t>
    <phoneticPr fontId="58" type="noConversion"/>
  </si>
  <si>
    <t>7F1103</t>
    <phoneticPr fontId="40" type="noConversion"/>
  </si>
  <si>
    <t>7F1103</t>
  </si>
  <si>
    <t>6F0101</t>
    <phoneticPr fontId="58" type="noConversion"/>
  </si>
  <si>
    <t>6F2201</t>
    <phoneticPr fontId="58" type="noConversion"/>
  </si>
  <si>
    <t>6F0101</t>
    <phoneticPr fontId="40" type="noConversion"/>
  </si>
  <si>
    <t>6F2201</t>
    <phoneticPr fontId="40" type="noConversion"/>
  </si>
  <si>
    <t>6F2901</t>
  </si>
  <si>
    <t>6F2901</t>
    <phoneticPr fontId="58" type="noConversion"/>
  </si>
  <si>
    <t>6F3001</t>
  </si>
  <si>
    <t>6F3001</t>
    <phoneticPr fontId="40" type="noConversion"/>
  </si>
  <si>
    <t>5F3901</t>
  </si>
  <si>
    <t>5F4201</t>
  </si>
  <si>
    <t>5F3401</t>
  </si>
  <si>
    <t>5F4301</t>
  </si>
  <si>
    <t>5F4701</t>
  </si>
  <si>
    <t>5F4101</t>
  </si>
  <si>
    <t>5F3101</t>
  </si>
  <si>
    <t>5F3701</t>
  </si>
  <si>
    <t>5F3601</t>
  </si>
  <si>
    <t>5FD023</t>
  </si>
  <si>
    <t>5F4101</t>
    <phoneticPr fontId="40" type="noConversion"/>
  </si>
  <si>
    <t>5F4701</t>
    <phoneticPr fontId="40" type="noConversion"/>
  </si>
  <si>
    <t>5F4301</t>
    <phoneticPr fontId="40" type="noConversion"/>
  </si>
  <si>
    <t>5F4601</t>
  </si>
  <si>
    <t>5F4601</t>
    <phoneticPr fontId="40" type="noConversion"/>
  </si>
  <si>
    <t>5F3101</t>
    <phoneticPr fontId="40" type="noConversion"/>
  </si>
  <si>
    <t>5F3101</t>
    <phoneticPr fontId="58" type="noConversion"/>
  </si>
  <si>
    <t>5F3801</t>
  </si>
  <si>
    <t>5F3801</t>
    <phoneticPr fontId="58" type="noConversion"/>
  </si>
  <si>
    <t>6F2501</t>
  </si>
  <si>
    <t>6F2501</t>
    <phoneticPr fontId="58" type="noConversion"/>
  </si>
  <si>
    <t>5F3801</t>
    <phoneticPr fontId="40" type="noConversion"/>
  </si>
  <si>
    <t>F5</t>
    <phoneticPr fontId="40" type="noConversion"/>
  </si>
  <si>
    <t>6F2501</t>
    <phoneticPr fontId="40" type="noConversion"/>
  </si>
  <si>
    <t>6F2601</t>
    <phoneticPr fontId="58" type="noConversion"/>
  </si>
  <si>
    <t>6F2801</t>
    <phoneticPr fontId="58" type="noConversion"/>
  </si>
  <si>
    <t>6F2601</t>
    <phoneticPr fontId="40" type="noConversion"/>
  </si>
  <si>
    <t>6F2801</t>
    <phoneticPr fontId="40" type="noConversion"/>
  </si>
  <si>
    <t>6F2601</t>
  </si>
  <si>
    <t>6F2801</t>
  </si>
  <si>
    <t>5F4001</t>
    <phoneticPr fontId="40" type="noConversion"/>
  </si>
  <si>
    <t>5F4001</t>
    <phoneticPr fontId="58" type="noConversion"/>
  </si>
  <si>
    <t>5F4001</t>
  </si>
  <si>
    <t>5F3501</t>
    <phoneticPr fontId="40" type="noConversion"/>
  </si>
  <si>
    <t>5F3501</t>
    <phoneticPr fontId="58" type="noConversion"/>
  </si>
  <si>
    <t>5F3501</t>
  </si>
  <si>
    <t>6F2401</t>
  </si>
  <si>
    <t>5F4401</t>
  </si>
  <si>
    <t>5F5001</t>
  </si>
  <si>
    <t>6F3101</t>
  </si>
  <si>
    <t>5F4401</t>
    <phoneticPr fontId="58" type="noConversion"/>
  </si>
  <si>
    <t>5F5001</t>
    <phoneticPr fontId="58" type="noConversion"/>
  </si>
  <si>
    <t>6F2401</t>
    <phoneticPr fontId="58" type="noConversion"/>
  </si>
  <si>
    <t>6F3101</t>
    <phoneticPr fontId="58" type="noConversion"/>
  </si>
  <si>
    <t>5F4401</t>
    <phoneticPr fontId="40" type="noConversion"/>
  </si>
  <si>
    <t>5F5001</t>
    <phoneticPr fontId="40" type="noConversion"/>
  </si>
  <si>
    <t>6F2401</t>
    <phoneticPr fontId="40" type="noConversion"/>
  </si>
  <si>
    <t>6F3101</t>
    <phoneticPr fontId="40" type="noConversion"/>
  </si>
  <si>
    <t>3F4801</t>
    <phoneticPr fontId="58" type="noConversion"/>
  </si>
  <si>
    <t>3F4801</t>
  </si>
  <si>
    <t>2F7001</t>
  </si>
  <si>
    <t>2F6901</t>
  </si>
  <si>
    <t>B14904</t>
    <phoneticPr fontId="58" type="noConversion"/>
  </si>
  <si>
    <t>B14904</t>
    <phoneticPr fontId="40" type="noConversion"/>
  </si>
  <si>
    <t>B14904</t>
  </si>
  <si>
    <t>2FD018</t>
  </si>
  <si>
    <t>1F0103</t>
    <phoneticPr fontId="40" type="noConversion"/>
  </si>
  <si>
    <t>1F0103</t>
  </si>
  <si>
    <t>1F0103</t>
    <phoneticPr fontId="40" type="noConversion"/>
  </si>
  <si>
    <t>截止2014年会员总数</t>
    <phoneticPr fontId="40" type="noConversion"/>
  </si>
  <si>
    <t>1F4801</t>
    <phoneticPr fontId="40" type="noConversion"/>
  </si>
  <si>
    <t>1F4801</t>
    <phoneticPr fontId="58" type="noConversion"/>
  </si>
  <si>
    <t>1F12A2</t>
  </si>
  <si>
    <t>1F12A2</t>
    <phoneticPr fontId="58" type="noConversion"/>
  </si>
  <si>
    <t>1F12A2</t>
    <phoneticPr fontId="40" type="noConversion"/>
  </si>
  <si>
    <t>5F3201</t>
  </si>
  <si>
    <t>5F3201</t>
    <phoneticPr fontId="58" type="noConversion"/>
  </si>
  <si>
    <t>5F3201</t>
    <phoneticPr fontId="40" type="noConversion"/>
  </si>
  <si>
    <t>B12602</t>
  </si>
  <si>
    <t>B12602</t>
    <phoneticPr fontId="58" type="noConversion"/>
  </si>
  <si>
    <t>B12602</t>
    <phoneticPr fontId="40" type="noConversion"/>
  </si>
  <si>
    <t>4F5502</t>
    <phoneticPr fontId="58" type="noConversion"/>
  </si>
  <si>
    <t>4F5502</t>
    <phoneticPr fontId="40" type="noConversion"/>
  </si>
  <si>
    <t>4F5502</t>
  </si>
  <si>
    <t>4F3602</t>
    <phoneticPr fontId="40" type="noConversion"/>
  </si>
  <si>
    <t>1F5001</t>
    <phoneticPr fontId="40" type="noConversion"/>
  </si>
  <si>
    <t>1F5001</t>
    <phoneticPr fontId="58" type="noConversion"/>
  </si>
  <si>
    <t>1F5001</t>
  </si>
  <si>
    <t>5F4801</t>
  </si>
  <si>
    <t>5F4801</t>
    <phoneticPr fontId="58" type="noConversion"/>
  </si>
  <si>
    <t>5F4801</t>
    <phoneticPr fontId="40" type="noConversion"/>
  </si>
  <si>
    <t>6F2701</t>
    <phoneticPr fontId="40" type="noConversion"/>
  </si>
  <si>
    <t>6F2701</t>
    <phoneticPr fontId="58" type="noConversion"/>
  </si>
  <si>
    <t>6F2701</t>
  </si>
  <si>
    <t>5F4501</t>
  </si>
  <si>
    <t>B10403</t>
  </si>
  <si>
    <t>3、ZARA、MD、monki、H&amp;M为估值。</t>
    <phoneticPr fontId="40" type="noConversion"/>
  </si>
  <si>
    <t>B10403</t>
    <phoneticPr fontId="58" type="noConversion"/>
  </si>
  <si>
    <t>5F4501</t>
    <phoneticPr fontId="58" type="noConversion"/>
  </si>
  <si>
    <t>B10403</t>
    <phoneticPr fontId="40" type="noConversion"/>
  </si>
  <si>
    <t>5F4501</t>
    <phoneticPr fontId="40" type="noConversion"/>
  </si>
  <si>
    <t>2F14B1</t>
    <phoneticPr fontId="58" type="noConversion"/>
  </si>
  <si>
    <t>2F14B1</t>
    <phoneticPr fontId="40" type="noConversion"/>
  </si>
  <si>
    <t>2F14B1</t>
  </si>
  <si>
    <t>4F1601</t>
  </si>
  <si>
    <t>4F1601</t>
    <phoneticPr fontId="58" type="noConversion"/>
  </si>
  <si>
    <t>4F1601</t>
    <phoneticPr fontId="40" type="noConversion"/>
  </si>
  <si>
    <t>4F5703</t>
    <phoneticPr fontId="40" type="noConversion"/>
  </si>
  <si>
    <t>4F5703</t>
    <phoneticPr fontId="58" type="noConversion"/>
  </si>
  <si>
    <t>4F5703</t>
  </si>
  <si>
    <t>4F1502</t>
  </si>
  <si>
    <t>2F14A1</t>
    <phoneticPr fontId="40" type="noConversion"/>
  </si>
  <si>
    <t>2F14A1</t>
    <phoneticPr fontId="58" type="noConversion"/>
  </si>
  <si>
    <t>4F1502</t>
    <phoneticPr fontId="58" type="noConversion"/>
  </si>
  <si>
    <t>4F1502</t>
    <phoneticPr fontId="40" type="noConversion"/>
  </si>
  <si>
    <t>2F14A1</t>
  </si>
  <si>
    <t>1F12B2</t>
    <phoneticPr fontId="58" type="noConversion"/>
  </si>
  <si>
    <t>1F12B2</t>
    <phoneticPr fontId="40" type="noConversion"/>
  </si>
  <si>
    <t>2F4003</t>
    <phoneticPr fontId="40" type="noConversion"/>
  </si>
  <si>
    <t>2F4003</t>
    <phoneticPr fontId="58" type="noConversion"/>
  </si>
  <si>
    <t>1F12B2</t>
  </si>
  <si>
    <t>2F4003</t>
  </si>
  <si>
    <t>1F3402</t>
    <phoneticPr fontId="58" type="noConversion"/>
  </si>
  <si>
    <t>1F3402</t>
    <phoneticPr fontId="40" type="noConversion"/>
  </si>
  <si>
    <t>1F3402</t>
  </si>
  <si>
    <t>2F3903</t>
  </si>
  <si>
    <t>2F3903</t>
    <phoneticPr fontId="58" type="noConversion"/>
  </si>
  <si>
    <t>2F3903</t>
    <phoneticPr fontId="40" type="noConversion"/>
  </si>
  <si>
    <t>B12904</t>
  </si>
  <si>
    <t>1F5101</t>
  </si>
  <si>
    <t>1F5101</t>
    <phoneticPr fontId="40" type="noConversion"/>
  </si>
  <si>
    <t>1F5101</t>
    <phoneticPr fontId="58" type="noConversion"/>
  </si>
  <si>
    <t>B13604</t>
  </si>
  <si>
    <t>B13604</t>
    <phoneticPr fontId="58" type="noConversion"/>
  </si>
  <si>
    <t>B13604</t>
    <phoneticPr fontId="40" type="noConversion"/>
  </si>
  <si>
    <t>6FD003</t>
  </si>
  <si>
    <t>1FZ111</t>
    <phoneticPr fontId="40" type="noConversion"/>
  </si>
  <si>
    <t>1FZ111</t>
    <phoneticPr fontId="58" type="noConversion"/>
  </si>
  <si>
    <t>1FZ111</t>
  </si>
  <si>
    <t>4F1002</t>
    <phoneticPr fontId="40" type="noConversion"/>
  </si>
  <si>
    <t>4F1002</t>
    <phoneticPr fontId="58" type="noConversion"/>
  </si>
  <si>
    <t>B10202</t>
    <phoneticPr fontId="58" type="noConversion"/>
  </si>
  <si>
    <t>B10202</t>
    <phoneticPr fontId="40" type="noConversion"/>
  </si>
  <si>
    <t>B10202</t>
  </si>
  <si>
    <t>4F1002</t>
  </si>
  <si>
    <t>6F1902</t>
    <phoneticPr fontId="58" type="noConversion"/>
  </si>
  <si>
    <t>6F1902</t>
    <phoneticPr fontId="40" type="noConversion"/>
  </si>
  <si>
    <t>6F1902</t>
  </si>
  <si>
    <t>5FD024</t>
  </si>
  <si>
    <t>8F2101</t>
    <phoneticPr fontId="58" type="noConversion"/>
  </si>
  <si>
    <t>8F2101</t>
    <phoneticPr fontId="40" type="noConversion"/>
  </si>
  <si>
    <t>8F2101</t>
  </si>
  <si>
    <t>B14503</t>
  </si>
  <si>
    <t>4FD031</t>
    <phoneticPr fontId="58" type="noConversion"/>
  </si>
  <si>
    <t>4FD034</t>
  </si>
  <si>
    <t>4FD034</t>
    <phoneticPr fontId="58" type="noConversion"/>
  </si>
  <si>
    <t>4FD034</t>
    <phoneticPr fontId="40" type="noConversion"/>
  </si>
  <si>
    <t>4FD033</t>
  </si>
  <si>
    <t>7F05A1</t>
    <phoneticPr fontId="40" type="noConversion"/>
  </si>
  <si>
    <t>7F05A1</t>
    <phoneticPr fontId="58" type="noConversion"/>
  </si>
  <si>
    <t>7F05A1</t>
  </si>
  <si>
    <t>8F1303</t>
    <phoneticPr fontId="40" type="noConversion"/>
  </si>
  <si>
    <t>8F1303</t>
    <phoneticPr fontId="58" type="noConversion"/>
  </si>
  <si>
    <t>8F1303</t>
  </si>
  <si>
    <t>B16303</t>
  </si>
  <si>
    <t>B17205</t>
  </si>
  <si>
    <t>3FD032</t>
    <phoneticPr fontId="58" type="noConversion"/>
  </si>
  <si>
    <t>3FD034</t>
  </si>
  <si>
    <t>B14603</t>
  </si>
  <si>
    <t>7F0203</t>
    <phoneticPr fontId="58" type="noConversion"/>
  </si>
  <si>
    <t>7F0203</t>
    <phoneticPr fontId="40" type="noConversion"/>
  </si>
  <si>
    <t>7F0203</t>
  </si>
  <si>
    <t>B10803</t>
  </si>
  <si>
    <t>B17701</t>
  </si>
  <si>
    <t>B17701</t>
    <phoneticPr fontId="58" type="noConversion"/>
  </si>
  <si>
    <t>B17701</t>
    <phoneticPr fontId="40" type="noConversion"/>
  </si>
  <si>
    <t>3FD033</t>
  </si>
  <si>
    <t>1F1902</t>
  </si>
  <si>
    <t>1F1902</t>
    <phoneticPr fontId="40" type="noConversion"/>
  </si>
  <si>
    <t>B15802</t>
  </si>
  <si>
    <t>B15802</t>
    <phoneticPr fontId="40" type="noConversion"/>
  </si>
  <si>
    <t>B15802</t>
    <phoneticPr fontId="58" type="noConversion"/>
  </si>
  <si>
    <t>B15303</t>
    <phoneticPr fontId="40" type="noConversion"/>
  </si>
  <si>
    <t>B15303</t>
    <phoneticPr fontId="58" type="noConversion"/>
  </si>
  <si>
    <t>B15303</t>
  </si>
  <si>
    <t>4F1102</t>
  </si>
  <si>
    <t>4F1102</t>
    <phoneticPr fontId="58" type="noConversion"/>
  </si>
  <si>
    <t>4F1102</t>
    <phoneticPr fontId="40" type="noConversion"/>
  </si>
  <si>
    <t>6FD004</t>
  </si>
  <si>
    <t>1F1902</t>
    <phoneticPr fontId="40" type="noConversion"/>
  </si>
  <si>
    <t>7FD001</t>
  </si>
  <si>
    <t>7FD001</t>
    <phoneticPr fontId="58" type="noConversion"/>
  </si>
  <si>
    <t>7FD001</t>
    <phoneticPr fontId="40" type="noConversion"/>
  </si>
  <si>
    <t>3FD035</t>
  </si>
  <si>
    <t>4F2703</t>
  </si>
  <si>
    <t>6F1803</t>
    <phoneticPr fontId="40" type="noConversion"/>
  </si>
  <si>
    <t>6F1803</t>
    <phoneticPr fontId="58" type="noConversion"/>
  </si>
  <si>
    <t>6F1803</t>
  </si>
  <si>
    <t>9F0403</t>
  </si>
  <si>
    <t>9F0403</t>
    <phoneticPr fontId="58" type="noConversion"/>
  </si>
  <si>
    <t>9F0403</t>
    <phoneticPr fontId="40" type="noConversion"/>
  </si>
  <si>
    <t>8F0302</t>
    <phoneticPr fontId="40" type="noConversion"/>
  </si>
  <si>
    <t>8F0302</t>
    <phoneticPr fontId="58" type="noConversion"/>
  </si>
  <si>
    <t>8F0302</t>
  </si>
  <si>
    <t>6F1702</t>
  </si>
  <si>
    <t>6F1702</t>
    <phoneticPr fontId="58" type="noConversion"/>
  </si>
  <si>
    <t>B15204</t>
  </si>
  <si>
    <t>B15204</t>
    <phoneticPr fontId="58" type="noConversion"/>
  </si>
  <si>
    <t>B15204</t>
    <phoneticPr fontId="40" type="noConversion"/>
  </si>
  <si>
    <t>1FZ101</t>
    <phoneticPr fontId="40" type="noConversion"/>
  </si>
  <si>
    <t>服装</t>
  </si>
  <si>
    <t>太平洋咖啡</t>
  </si>
  <si>
    <t>3F2403</t>
  </si>
  <si>
    <t>4F5803</t>
  </si>
  <si>
    <t>CK PERFORMANCE</t>
  </si>
  <si>
    <t>UNDER ARMOUR</t>
  </si>
  <si>
    <t>3F2403</t>
    <phoneticPr fontId="40" type="noConversion"/>
  </si>
  <si>
    <t>4F5803</t>
    <phoneticPr fontId="40" type="noConversion"/>
  </si>
  <si>
    <t>8FD010</t>
  </si>
  <si>
    <t>8FD010</t>
    <phoneticPr fontId="40" type="noConversion"/>
  </si>
  <si>
    <t>3F2403</t>
    <phoneticPr fontId="58" type="noConversion"/>
  </si>
  <si>
    <t>4F5803</t>
    <phoneticPr fontId="58" type="noConversion"/>
  </si>
  <si>
    <t>8FD010</t>
    <phoneticPr fontId="58" type="noConversion"/>
  </si>
  <si>
    <t>集品堂</t>
  </si>
  <si>
    <t>8FD008</t>
  </si>
  <si>
    <t>8FD008</t>
    <phoneticPr fontId="58" type="noConversion"/>
  </si>
  <si>
    <t>8FD008</t>
    <phoneticPr fontId="40" type="noConversion"/>
  </si>
  <si>
    <t>吉之岛</t>
  </si>
  <si>
    <t>主力店</t>
  </si>
  <si>
    <t>综合服务</t>
  </si>
  <si>
    <t>GAP</t>
  </si>
  <si>
    <t>零售</t>
  </si>
  <si>
    <t>SEPHORA</t>
  </si>
  <si>
    <t>化妆品</t>
  </si>
  <si>
    <t>MUJI</t>
  </si>
  <si>
    <t>HOLA</t>
  </si>
  <si>
    <t>优衣库</t>
  </si>
  <si>
    <t>朝阳科技广场</t>
  </si>
  <si>
    <t>数码电器</t>
  </si>
  <si>
    <t>TOYS R US</t>
  </si>
  <si>
    <t>便宜坊</t>
  </si>
  <si>
    <t>餐饮</t>
  </si>
  <si>
    <t>正餐</t>
  </si>
  <si>
    <t>西贝</t>
  </si>
  <si>
    <t>冠军冰场</t>
  </si>
  <si>
    <t>休闲娱乐</t>
  </si>
  <si>
    <t>金银岛</t>
  </si>
  <si>
    <t>金逸影院</t>
  </si>
  <si>
    <t>绿茶</t>
  </si>
  <si>
    <t>金钱豹</t>
  </si>
  <si>
    <t>唐宫</t>
  </si>
  <si>
    <t>蓝天城</t>
  </si>
  <si>
    <t>文化教育</t>
  </si>
  <si>
    <t>文教娱乐</t>
  </si>
  <si>
    <t>歌友汇</t>
  </si>
  <si>
    <t>F11</t>
  </si>
  <si>
    <t>同仁堂</t>
  </si>
  <si>
    <t>TUTUANNA</t>
  </si>
  <si>
    <t>蕾舒翠</t>
  </si>
  <si>
    <t>木九十</t>
  </si>
  <si>
    <t>配饰</t>
  </si>
  <si>
    <t>可多</t>
  </si>
  <si>
    <t>CYO VAPE</t>
  </si>
  <si>
    <t>UNCLE SMITH</t>
  </si>
  <si>
    <t>服务</t>
  </si>
  <si>
    <t>专项服务</t>
  </si>
  <si>
    <t>HUSH</t>
  </si>
  <si>
    <t>B2</t>
  </si>
  <si>
    <t>丽时美发</t>
  </si>
  <si>
    <t>ABC COOKING STUDIO</t>
  </si>
  <si>
    <t>多得路</t>
  </si>
  <si>
    <t>宝岛眼镜</t>
  </si>
  <si>
    <t>B.DUCK</t>
  </si>
  <si>
    <t>HT</t>
  </si>
  <si>
    <t>阿芙</t>
  </si>
  <si>
    <t>KASANRIN</t>
  </si>
  <si>
    <t>面包新语</t>
  </si>
  <si>
    <t>EDIBLE</t>
  </si>
  <si>
    <t>西树泡芙</t>
  </si>
  <si>
    <t>爱一道</t>
  </si>
  <si>
    <t>池田寿司</t>
  </si>
  <si>
    <t>美珍香</t>
  </si>
  <si>
    <t>食品</t>
  </si>
  <si>
    <t>西少爷肉夹馍</t>
  </si>
  <si>
    <t>YANKEE CANDLE</t>
  </si>
  <si>
    <t>CICIG</t>
  </si>
  <si>
    <t>有机地球</t>
  </si>
  <si>
    <t>COOL4</t>
  </si>
  <si>
    <t>NUZZLE</t>
  </si>
  <si>
    <t>BONE</t>
  </si>
  <si>
    <t>贡茶</t>
  </si>
  <si>
    <t>薯皇</t>
  </si>
  <si>
    <t>优之良品</t>
  </si>
  <si>
    <t>槑玩槑了</t>
  </si>
  <si>
    <t>快乐柠檬</t>
  </si>
  <si>
    <t>弹丸滋地</t>
  </si>
  <si>
    <t>小尾盐酥鸡</t>
  </si>
  <si>
    <t>MAX FACTOR</t>
  </si>
  <si>
    <t>HITOMI</t>
  </si>
  <si>
    <t>悦木之源</t>
  </si>
  <si>
    <t>林清轩</t>
  </si>
  <si>
    <t>霍尼韦尔</t>
  </si>
  <si>
    <t>恋暖初茶</t>
  </si>
  <si>
    <t>自然之宝</t>
  </si>
  <si>
    <t>北澳宝蓝</t>
  </si>
  <si>
    <t>喵不乖</t>
  </si>
  <si>
    <t>吧台料理烘培工坊</t>
  </si>
  <si>
    <t>哈霸欧顶</t>
  </si>
  <si>
    <t>雅漾</t>
  </si>
  <si>
    <t>DYSON</t>
  </si>
  <si>
    <t>CHAUMONT</t>
  </si>
  <si>
    <t>极草</t>
  </si>
  <si>
    <t>KLYDO</t>
  </si>
  <si>
    <t>CANDY MASTER</t>
  </si>
  <si>
    <t>雷诺瓦</t>
  </si>
  <si>
    <t>安赛朵拉</t>
  </si>
  <si>
    <t>CAMPO MARZIO</t>
  </si>
  <si>
    <t>屈臣氏</t>
  </si>
  <si>
    <t>INCOCO</t>
  </si>
  <si>
    <t>FANTASTICK</t>
  </si>
  <si>
    <t>SOYYU</t>
  </si>
  <si>
    <t>U.SCEN</t>
  </si>
  <si>
    <t>迷你美珠</t>
  </si>
  <si>
    <t>三佰瑞</t>
  </si>
  <si>
    <t>小鬼当佳</t>
  </si>
  <si>
    <t>美车堂B2</t>
  </si>
  <si>
    <t>MELVITA</t>
  </si>
  <si>
    <t>TIMBERLAND</t>
  </si>
  <si>
    <t>LONGINES</t>
  </si>
  <si>
    <t>PANDORA</t>
  </si>
  <si>
    <t>L’OCCITANE</t>
  </si>
  <si>
    <t>ORIGINS</t>
  </si>
  <si>
    <t>C1 HUT</t>
  </si>
  <si>
    <t>TISSOT</t>
  </si>
  <si>
    <t>MAC</t>
  </si>
  <si>
    <t>TOMMY HILFIGER</t>
  </si>
  <si>
    <t>GUESS</t>
  </si>
  <si>
    <t>DKNY</t>
  </si>
  <si>
    <t>LACOSTE</t>
  </si>
  <si>
    <t>J.LINDEBERG</t>
  </si>
  <si>
    <t>I DO</t>
  </si>
  <si>
    <t>亮视点</t>
  </si>
  <si>
    <t>BROOKS BROTHERS</t>
  </si>
  <si>
    <t>7-ELEVEN</t>
  </si>
  <si>
    <t>FOLLI FOLLIE</t>
  </si>
  <si>
    <t>EVISU</t>
  </si>
  <si>
    <t>AAPE</t>
  </si>
  <si>
    <t>CHARLES&amp;KEITH</t>
  </si>
  <si>
    <t>皮具</t>
  </si>
  <si>
    <t>CK</t>
  </si>
  <si>
    <t>SWAROVSKI</t>
  </si>
  <si>
    <t>GUCCI</t>
  </si>
  <si>
    <t>JILL STUART</t>
  </si>
  <si>
    <t>Kiehl's</t>
  </si>
  <si>
    <t>H&amp;M</t>
  </si>
  <si>
    <t>ZARA HOME</t>
  </si>
  <si>
    <t>SWATCH</t>
  </si>
  <si>
    <t>AGATHA</t>
  </si>
  <si>
    <t>ZARA</t>
  </si>
  <si>
    <t>MD</t>
  </si>
  <si>
    <t>美丽田园</t>
  </si>
  <si>
    <t>柯达</t>
  </si>
  <si>
    <t>MR.DOGGY</t>
  </si>
  <si>
    <t>SLY</t>
  </si>
  <si>
    <t>VOV</t>
  </si>
  <si>
    <t>COVER GARDEN</t>
  </si>
  <si>
    <t>SIQIN</t>
  </si>
  <si>
    <t>D2C</t>
  </si>
  <si>
    <t>ECCO</t>
  </si>
  <si>
    <t>CLARKS</t>
  </si>
  <si>
    <t>TANNI</t>
  </si>
  <si>
    <t>MOUSSY</t>
  </si>
  <si>
    <t>G-STAR RAW</t>
  </si>
  <si>
    <t>MISS SIXTY</t>
  </si>
  <si>
    <t>III VIVINIKO</t>
  </si>
  <si>
    <t>ZUCZUG</t>
  </si>
  <si>
    <t>ICICLE</t>
  </si>
  <si>
    <t>GEROLAMO</t>
  </si>
  <si>
    <t>YINER</t>
  </si>
  <si>
    <t>TRIBECA</t>
  </si>
  <si>
    <t>JESSIE</t>
  </si>
  <si>
    <t>MUX</t>
  </si>
  <si>
    <t>LE SAUNDA</t>
  </si>
  <si>
    <t>VERO MODA</t>
  </si>
  <si>
    <t>JACK&amp;JONES</t>
  </si>
  <si>
    <t>BOSA</t>
  </si>
  <si>
    <t>CALVIN KLEIN UNDERWEAR</t>
  </si>
  <si>
    <t>CALVIN KLEIN JEANS</t>
  </si>
  <si>
    <t>EITIE</t>
  </si>
  <si>
    <t>ZUKKA PRO</t>
  </si>
  <si>
    <t>CHRISS DELLA MODA</t>
  </si>
  <si>
    <t>LESS</t>
  </si>
  <si>
    <t>LAVINIA</t>
  </si>
  <si>
    <t>NEON</t>
  </si>
  <si>
    <t>ANNE KAREN</t>
  </si>
  <si>
    <t>MILLES/ELLE/BCBG</t>
  </si>
  <si>
    <t>KAVON</t>
  </si>
  <si>
    <t>KORADIOR</t>
  </si>
  <si>
    <t>SNIDEL、LILY BROWN</t>
  </si>
  <si>
    <t>MASFER SU</t>
  </si>
  <si>
    <t>STACCATO</t>
  </si>
  <si>
    <t>BEVIVO</t>
  </si>
  <si>
    <t>FORNET 福奈特</t>
  </si>
  <si>
    <t>TATA</t>
  </si>
  <si>
    <t>CHIHIRO BY S.K.</t>
  </si>
  <si>
    <t>WALKER ONE</t>
  </si>
  <si>
    <t>CAVIENO</t>
  </si>
  <si>
    <t>BATA</t>
  </si>
  <si>
    <t>TEENMIX</t>
  </si>
  <si>
    <t>new look</t>
  </si>
  <si>
    <t>monki</t>
  </si>
  <si>
    <t>AVVN</t>
  </si>
  <si>
    <t>LEVI'S</t>
  </si>
  <si>
    <t>BANILA CO</t>
  </si>
  <si>
    <t>江南布衣</t>
  </si>
  <si>
    <t>MO&amp;CO</t>
  </si>
  <si>
    <t>Ochirly</t>
  </si>
  <si>
    <t>ZCZZ</t>
  </si>
  <si>
    <t>COSA</t>
  </si>
  <si>
    <t>MU</t>
  </si>
  <si>
    <t>TEENIE WEENIE</t>
  </si>
  <si>
    <t>BASIC HOUSE</t>
  </si>
  <si>
    <t>L'ARMADIO</t>
  </si>
  <si>
    <t>FOREVER NEW</t>
  </si>
  <si>
    <t>PRICH</t>
  </si>
  <si>
    <t>EARTH MUSIC</t>
  </si>
  <si>
    <t>TRENDIANO</t>
  </si>
  <si>
    <t>DAZZLE</t>
  </si>
  <si>
    <t>SEASON WIND</t>
  </si>
  <si>
    <t>HUSH PUPPIES</t>
  </si>
  <si>
    <t>ONLY</t>
  </si>
  <si>
    <t>海盗船</t>
  </si>
  <si>
    <t>BOUTHENTIQUE</t>
  </si>
  <si>
    <t>数码维修</t>
  </si>
  <si>
    <t>服装修改</t>
  </si>
  <si>
    <t>ADIDAS ORIGINALS</t>
  </si>
  <si>
    <t>播</t>
  </si>
  <si>
    <t>LOWRYS FARM等</t>
  </si>
  <si>
    <t>ONE MORE</t>
  </si>
  <si>
    <t>6IXTY 8IGHT</t>
  </si>
  <si>
    <t>PEACH JOHN</t>
  </si>
  <si>
    <t>MIND BRIDGE</t>
  </si>
  <si>
    <t>MIKIBANA</t>
  </si>
  <si>
    <t>MARIE N‘ MARY</t>
  </si>
  <si>
    <t>ODBO</t>
  </si>
  <si>
    <t>DR.MARTIN</t>
  </si>
  <si>
    <t>再尚秀</t>
  </si>
  <si>
    <t>RUBY ANG</t>
  </si>
  <si>
    <t>柏文熊</t>
  </si>
  <si>
    <t>ELLIALOVERRO</t>
  </si>
  <si>
    <t>FIC</t>
  </si>
  <si>
    <t>NOP</t>
  </si>
  <si>
    <t>艾瑞美</t>
  </si>
  <si>
    <t>缤纷色彩</t>
  </si>
  <si>
    <t>MRKT</t>
  </si>
  <si>
    <t>FRANGI</t>
  </si>
  <si>
    <t>CONVERSE</t>
  </si>
  <si>
    <t>NBA</t>
  </si>
  <si>
    <t>LALABOBO</t>
  </si>
  <si>
    <t>WESTLINK</t>
  </si>
  <si>
    <t>奈美惠</t>
  </si>
  <si>
    <t>LILY</t>
  </si>
  <si>
    <t>AOJO</t>
  </si>
  <si>
    <t>阪织屋 BANDGEWOO</t>
  </si>
  <si>
    <t>KIPLING</t>
  </si>
  <si>
    <t>SANRIO</t>
  </si>
  <si>
    <t>乐町</t>
  </si>
  <si>
    <t>酷乐潮玩</t>
  </si>
  <si>
    <t>贝黎诗</t>
  </si>
  <si>
    <t>麦淇舍宾</t>
  </si>
  <si>
    <t>BOY LONDON</t>
  </si>
  <si>
    <t>TEN MIRO</t>
  </si>
  <si>
    <t>NASNA</t>
  </si>
  <si>
    <t>JUCY JUDY</t>
  </si>
  <si>
    <t>HOTWIND</t>
  </si>
  <si>
    <t>阿童木</t>
  </si>
  <si>
    <t>DC</t>
  </si>
  <si>
    <t>EVES TEMPTATION</t>
  </si>
  <si>
    <t>MEET MIMIQ</t>
  </si>
  <si>
    <t>AJIDOU</t>
  </si>
  <si>
    <t>PAUL FRANK</t>
  </si>
  <si>
    <t>EBLIN</t>
  </si>
  <si>
    <t>爱美丽/IMI'S</t>
  </si>
  <si>
    <t>CRZ</t>
  </si>
  <si>
    <t>PANCOAT</t>
  </si>
  <si>
    <t>E-LAND</t>
  </si>
  <si>
    <t>THE SHOES BAR</t>
  </si>
  <si>
    <t>GXG</t>
  </si>
  <si>
    <t>速写CROQUIS</t>
  </si>
  <si>
    <t>MOMO</t>
  </si>
  <si>
    <t>NIKE 360</t>
  </si>
  <si>
    <t>MLB</t>
  </si>
  <si>
    <t>NIKE</t>
  </si>
  <si>
    <t>NEW BALANCE</t>
  </si>
  <si>
    <t>HI 百货</t>
  </si>
  <si>
    <t>ADIDAS</t>
  </si>
  <si>
    <t>VANS</t>
  </si>
  <si>
    <t>DDC</t>
  </si>
  <si>
    <t>ZIPPO等</t>
  </si>
  <si>
    <t>REEMOOR</t>
  </si>
  <si>
    <t>LOGIN</t>
  </si>
  <si>
    <t>TOTORO</t>
  </si>
  <si>
    <t>MOTHERCARE</t>
  </si>
  <si>
    <t>LOLLIPOP等</t>
  </si>
  <si>
    <t>TEENIE WEENIE KIDS</t>
  </si>
  <si>
    <t>PAUL FRANK KIDS</t>
  </si>
  <si>
    <t>BABYLAND</t>
  </si>
  <si>
    <t>ROOKIE</t>
  </si>
  <si>
    <t>雅咪贝贝</t>
  </si>
  <si>
    <t>LEGO</t>
  </si>
  <si>
    <t>西瓜头</t>
  </si>
  <si>
    <t>ADIDAS KIDS</t>
  </si>
  <si>
    <t>NIKE KIDS</t>
  </si>
  <si>
    <t>RAG-MART</t>
  </si>
  <si>
    <t>DPAM</t>
  </si>
  <si>
    <t>Stride rite</t>
  </si>
  <si>
    <t>GXG KIDS</t>
  </si>
  <si>
    <t>ELAND KIDS</t>
  </si>
  <si>
    <t>GYMBOREE</t>
  </si>
  <si>
    <t>CROCS</t>
  </si>
  <si>
    <t>lavie home</t>
  </si>
  <si>
    <t>尚品宅配</t>
  </si>
  <si>
    <t>CUTIE NAIL 悦 指间</t>
  </si>
  <si>
    <t>awfully chocolate</t>
  </si>
  <si>
    <t>CARRERA</t>
  </si>
  <si>
    <t>悦童</t>
  </si>
  <si>
    <t>霾星人</t>
  </si>
  <si>
    <t>INMOTION 乐行体感车</t>
  </si>
  <si>
    <t>木玩世家等</t>
  </si>
  <si>
    <t>八八空间</t>
  </si>
  <si>
    <t>柏斯琴行</t>
  </si>
  <si>
    <t>MAMALOOK</t>
  </si>
  <si>
    <t>爱乐教育</t>
  </si>
  <si>
    <t>STARBUCKS</t>
  </si>
  <si>
    <t>哈根达斯</t>
  </si>
  <si>
    <t>巴黎贝甜</t>
  </si>
  <si>
    <t>CAFFEBENE</t>
  </si>
  <si>
    <t>乌巢</t>
  </si>
  <si>
    <t>COSTA COFFEE</t>
  </si>
  <si>
    <t>QT</t>
  </si>
  <si>
    <t>PIZZA HUT</t>
  </si>
  <si>
    <t>红卡咖啡</t>
  </si>
  <si>
    <t>DQ</t>
  </si>
  <si>
    <t>PRETTY VALLEY</t>
  </si>
  <si>
    <t>HI KOREA</t>
  </si>
  <si>
    <t>彩秀 ESSENSUALS</t>
  </si>
  <si>
    <t>CANDY LAB 糖果研究室</t>
  </si>
  <si>
    <t>甲 33</t>
  </si>
  <si>
    <t>巴黎汇</t>
  </si>
  <si>
    <t>同或绘馆</t>
  </si>
  <si>
    <t>单向街</t>
  </si>
  <si>
    <t>青瓷故事馆</t>
  </si>
  <si>
    <t>DISC</t>
  </si>
  <si>
    <t>MS BONBON</t>
  </si>
  <si>
    <t>曼思欢乐厨房</t>
  </si>
  <si>
    <t>星巴克</t>
  </si>
  <si>
    <t>TIAGO</t>
  </si>
  <si>
    <t>棉花糖</t>
  </si>
  <si>
    <t>DELIZIEFOLLIE</t>
  </si>
  <si>
    <t>三元梅园</t>
  </si>
  <si>
    <t>STICKHOUSE</t>
  </si>
  <si>
    <t>西堤牛排</t>
  </si>
  <si>
    <t>MR.PIZZA</t>
  </si>
  <si>
    <t>满记甜品</t>
  </si>
  <si>
    <t>金鼎轩</t>
  </si>
  <si>
    <t>外婆家</t>
  </si>
  <si>
    <t>权金城</t>
  </si>
  <si>
    <t>泰和草本</t>
  </si>
  <si>
    <t>博多一幸舍</t>
  </si>
  <si>
    <t>大渔</t>
  </si>
  <si>
    <t>雕爷牛腩</t>
  </si>
  <si>
    <t>一麻一辣</t>
  </si>
  <si>
    <t>一品小笼</t>
  </si>
  <si>
    <t>滇草香</t>
  </si>
  <si>
    <t>很高兴遇见你</t>
  </si>
  <si>
    <t>争鲜</t>
  </si>
  <si>
    <t>鹿港小镇</t>
  </si>
  <si>
    <t>艾特尔诺</t>
  </si>
  <si>
    <t>肥猫</t>
  </si>
  <si>
    <t>MR J 周大侠</t>
  </si>
  <si>
    <t>树心旁</t>
  </si>
  <si>
    <t>神户六甲道</t>
  </si>
  <si>
    <t>57度湘</t>
  </si>
  <si>
    <t>薛蟠</t>
  </si>
  <si>
    <t>MIU 秘团</t>
  </si>
  <si>
    <t>爵士屋</t>
  </si>
  <si>
    <t>费尼</t>
  </si>
  <si>
    <t>THE RUG CHAT ROOM</t>
  </si>
  <si>
    <t>马迭尔冰棍</t>
  </si>
  <si>
    <t>漫果工坊</t>
  </si>
  <si>
    <t>CAKE BOSS</t>
  </si>
  <si>
    <t>水货</t>
  </si>
  <si>
    <t>串亭烧烤居酒屋</t>
  </si>
  <si>
    <t>赤坂亭</t>
  </si>
  <si>
    <t>拿渡</t>
  </si>
  <si>
    <t>度小月</t>
  </si>
  <si>
    <t>苗乡楼</t>
  </si>
  <si>
    <t>新辣道</t>
  </si>
  <si>
    <t>旺池</t>
  </si>
  <si>
    <t>望湘园</t>
  </si>
  <si>
    <t>品苑</t>
  </si>
  <si>
    <t>将太无二</t>
  </si>
  <si>
    <t>饺来饺去</t>
  </si>
  <si>
    <t>HI 辣</t>
  </si>
  <si>
    <t>海盗猫</t>
  </si>
  <si>
    <t>云海肴</t>
  </si>
  <si>
    <t>集美红酒</t>
  </si>
  <si>
    <t>鲜芋仙</t>
  </si>
  <si>
    <t>一品三笑</t>
  </si>
  <si>
    <t>汉堡王</t>
  </si>
  <si>
    <t>萨丁小厨</t>
  </si>
  <si>
    <t>权味</t>
  </si>
  <si>
    <t>面香居</t>
  </si>
  <si>
    <t>萨莉亚</t>
  </si>
  <si>
    <t>胡椒厨房</t>
  </si>
  <si>
    <t>肯德基</t>
  </si>
  <si>
    <t>醉三分</t>
  </si>
  <si>
    <t>赛百味</t>
  </si>
  <si>
    <t>鲜饮空间</t>
  </si>
  <si>
    <t>丸龟制面</t>
  </si>
  <si>
    <t>澳门味道</t>
  </si>
  <si>
    <t>NEW YORK FRIES</t>
  </si>
  <si>
    <t>玩伴</t>
  </si>
  <si>
    <t>咖喱虎</t>
  </si>
  <si>
    <t>珍仕菓</t>
  </si>
  <si>
    <t>泰焦鸡</t>
  </si>
  <si>
    <t>贝尔多爸爸</t>
  </si>
  <si>
    <t>找茶</t>
  </si>
  <si>
    <t>鲜元素</t>
  </si>
  <si>
    <t>吉野家+DQ</t>
  </si>
  <si>
    <t>呷哺呷哺</t>
  </si>
  <si>
    <t>COLDSTONE</t>
  </si>
  <si>
    <t>许留山</t>
  </si>
  <si>
    <t>酷姆思CRUMBS</t>
  </si>
  <si>
    <t>香记肉干</t>
  </si>
  <si>
    <t>爱有梅有</t>
  </si>
  <si>
    <t>Millons of milkshakes</t>
  </si>
  <si>
    <t>疆爱</t>
  </si>
  <si>
    <t>2015.9.19店庆</t>
    <phoneticPr fontId="40" type="noConversion"/>
  </si>
  <si>
    <t>1FZ121</t>
    <phoneticPr fontId="58" type="noConversion"/>
  </si>
  <si>
    <t>1FZ121</t>
    <phoneticPr fontId="40" type="noConversion"/>
  </si>
  <si>
    <t>B15102</t>
    <phoneticPr fontId="40" type="noConversion"/>
  </si>
  <si>
    <t>B15102</t>
    <phoneticPr fontId="58" type="noConversion"/>
  </si>
  <si>
    <t>1FZ121</t>
  </si>
  <si>
    <t>B14703</t>
  </si>
  <si>
    <t>XOXO</t>
  </si>
  <si>
    <t>6F1702</t>
    <phoneticPr fontId="40" type="noConversion"/>
  </si>
  <si>
    <t>7F05B1</t>
  </si>
  <si>
    <t>7F05B1</t>
    <phoneticPr fontId="58" type="noConversion"/>
  </si>
  <si>
    <t>7F05B1</t>
    <phoneticPr fontId="40" type="noConversion"/>
  </si>
  <si>
    <t>B14106</t>
    <phoneticPr fontId="40" type="noConversion"/>
  </si>
  <si>
    <t>B14106</t>
    <phoneticPr fontId="58" type="noConversion"/>
  </si>
  <si>
    <t>B16003</t>
  </si>
  <si>
    <t>B14106</t>
  </si>
  <si>
    <t>渔夫得利</t>
  </si>
  <si>
    <t>8F14A3</t>
    <phoneticPr fontId="40" type="noConversion"/>
  </si>
  <si>
    <t>8F14A3</t>
    <phoneticPr fontId="58" type="noConversion"/>
  </si>
  <si>
    <t>8FD009</t>
  </si>
  <si>
    <t>8F14A3</t>
  </si>
  <si>
    <t>56度 CAKE</t>
  </si>
  <si>
    <t>租宝戴戴</t>
  </si>
  <si>
    <t>B12805</t>
  </si>
  <si>
    <t>卡西欧</t>
  </si>
  <si>
    <t>6F1102</t>
    <phoneticPr fontId="58" type="noConversion"/>
  </si>
  <si>
    <t>6F1102</t>
    <phoneticPr fontId="40" type="noConversion"/>
  </si>
  <si>
    <t>6F1102</t>
  </si>
  <si>
    <t>潮粤小馆</t>
  </si>
  <si>
    <t>2F2302</t>
    <phoneticPr fontId="58" type="noConversion"/>
  </si>
  <si>
    <t>2F2403</t>
  </si>
  <si>
    <t>2F2403</t>
    <phoneticPr fontId="58" type="noConversion"/>
  </si>
  <si>
    <t>2F2403</t>
    <phoneticPr fontId="40" type="noConversion"/>
  </si>
  <si>
    <t>B16802</t>
  </si>
  <si>
    <t>FIONA CHEN</t>
  </si>
  <si>
    <t>LAMY</t>
  </si>
  <si>
    <t>B16701</t>
    <phoneticPr fontId="58" type="noConversion"/>
  </si>
  <si>
    <t>B16802</t>
    <phoneticPr fontId="58" type="noConversion"/>
  </si>
  <si>
    <t>B16802</t>
    <phoneticPr fontId="40" type="noConversion"/>
  </si>
  <si>
    <t>3FD036</t>
  </si>
  <si>
    <t>B11202</t>
  </si>
  <si>
    <t>B14005</t>
  </si>
  <si>
    <t>LE WONDER SOCKS</t>
  </si>
  <si>
    <t>POP MART</t>
  </si>
  <si>
    <t>4F6002</t>
  </si>
  <si>
    <t>4F6002</t>
    <phoneticPr fontId="58" type="noConversion"/>
  </si>
  <si>
    <t>4F6002</t>
    <phoneticPr fontId="40" type="noConversion"/>
  </si>
  <si>
    <t>9F0302</t>
  </si>
  <si>
    <t>火炉火</t>
  </si>
  <si>
    <t>9F0302</t>
    <phoneticPr fontId="58" type="noConversion"/>
  </si>
  <si>
    <t>9F0302</t>
    <phoneticPr fontId="40" type="noConversion"/>
  </si>
  <si>
    <t>2F6901</t>
    <phoneticPr fontId="58" type="noConversion"/>
  </si>
  <si>
    <t>5F5101</t>
  </si>
  <si>
    <t>5F5101</t>
    <phoneticPr fontId="40" type="noConversion"/>
  </si>
  <si>
    <t>5F5101</t>
    <phoneticPr fontId="58" type="noConversion"/>
  </si>
  <si>
    <t>浆宝</t>
  </si>
  <si>
    <t>4F3303</t>
  </si>
  <si>
    <t>4F3303</t>
    <phoneticPr fontId="58" type="noConversion"/>
  </si>
  <si>
    <t>4F3303</t>
    <phoneticPr fontId="40" type="noConversion"/>
  </si>
  <si>
    <t>BODY POPS</t>
  </si>
  <si>
    <t>4F0503</t>
    <phoneticPr fontId="40" type="noConversion"/>
  </si>
  <si>
    <t>4F0503</t>
    <phoneticPr fontId="58" type="noConversion"/>
  </si>
  <si>
    <t>4FD035</t>
  </si>
  <si>
    <t>4F0503</t>
  </si>
  <si>
    <t>JDV</t>
  </si>
  <si>
    <t>肚脐眼</t>
  </si>
  <si>
    <t>F1</t>
    <phoneticPr fontId="40" type="noConversion"/>
  </si>
  <si>
    <t>8FD011</t>
  </si>
  <si>
    <t>B16902</t>
  </si>
  <si>
    <t>乐客VR</t>
  </si>
  <si>
    <t>优贝施进口药妆</t>
  </si>
  <si>
    <t>5FD025</t>
  </si>
  <si>
    <t>5FD025</t>
    <phoneticPr fontId="40" type="noConversion"/>
  </si>
  <si>
    <t>1F2802</t>
  </si>
  <si>
    <t>1F2802</t>
    <phoneticPr fontId="58" type="noConversion"/>
  </si>
  <si>
    <t>1F2802</t>
    <phoneticPr fontId="40" type="noConversion"/>
  </si>
  <si>
    <t>INNISFREE</t>
  </si>
  <si>
    <t>DODO KIDS</t>
  </si>
  <si>
    <t>1FZ131</t>
  </si>
  <si>
    <t>口留香</t>
  </si>
  <si>
    <t>4F0703</t>
  </si>
  <si>
    <t>HI PANDA</t>
  </si>
  <si>
    <t>5F2603</t>
  </si>
  <si>
    <t>PAW IN PAW</t>
  </si>
  <si>
    <t>5F26A1</t>
  </si>
  <si>
    <t>GUESS KIDS</t>
  </si>
  <si>
    <t>3F1601</t>
  </si>
  <si>
    <t>FIVE PLUS</t>
  </si>
  <si>
    <t>3F1601</t>
    <phoneticPr fontId="58" type="noConversion"/>
  </si>
  <si>
    <t>3F1601</t>
    <phoneticPr fontId="40" type="noConversion"/>
  </si>
  <si>
    <t>1F4101</t>
    <phoneticPr fontId="58" type="noConversion"/>
  </si>
  <si>
    <t>5FD025</t>
    <phoneticPr fontId="58" type="noConversion"/>
  </si>
  <si>
    <t>4F2003</t>
  </si>
  <si>
    <t>MATERIAL GIRL</t>
  </si>
  <si>
    <t>5F2503</t>
  </si>
  <si>
    <t>WHEAT</t>
  </si>
  <si>
    <t>4F5002</t>
  </si>
  <si>
    <t>COLUMBIA等</t>
  </si>
  <si>
    <t>B10103</t>
  </si>
  <si>
    <t>1F5201</t>
  </si>
  <si>
    <t>Hollister</t>
  </si>
  <si>
    <t>F1</t>
    <phoneticPr fontId="40" type="noConversion"/>
  </si>
  <si>
    <t>6F1203</t>
  </si>
  <si>
    <t>很有面</t>
  </si>
  <si>
    <t>1F47A2</t>
  </si>
  <si>
    <t>8FD012</t>
  </si>
  <si>
    <t>APM MONACO</t>
  </si>
  <si>
    <t>鲜品萃</t>
  </si>
  <si>
    <t>5F2303</t>
  </si>
  <si>
    <t>4F29A2</t>
  </si>
  <si>
    <t>JNBY BY JNBY</t>
  </si>
  <si>
    <t>MS FLORA</t>
  </si>
  <si>
    <t>5F2303</t>
    <phoneticPr fontId="58" type="noConversion"/>
  </si>
  <si>
    <t>4F29A2</t>
    <phoneticPr fontId="58" type="noConversion"/>
  </si>
  <si>
    <t>4F29A2</t>
    <phoneticPr fontId="40" type="noConversion"/>
  </si>
  <si>
    <t>5F2303</t>
    <phoneticPr fontId="40" type="noConversion"/>
  </si>
  <si>
    <t>3FD036</t>
    <phoneticPr fontId="58" type="noConversion"/>
  </si>
  <si>
    <t>3FD039</t>
  </si>
  <si>
    <t>NGA</t>
  </si>
  <si>
    <t>APPLE</t>
  </si>
  <si>
    <t>APPLE</t>
    <phoneticPr fontId="58" type="noConversion"/>
  </si>
  <si>
    <t>4F12B1</t>
  </si>
  <si>
    <t>B17901</t>
  </si>
  <si>
    <t>1F3802</t>
  </si>
  <si>
    <t>1F3802</t>
    <phoneticPr fontId="58" type="noConversion"/>
  </si>
  <si>
    <t>撒露</t>
  </si>
  <si>
    <t>8F26A1</t>
  </si>
  <si>
    <t>文宇奶酪</t>
  </si>
  <si>
    <t>B12204</t>
  </si>
  <si>
    <t>苏松府</t>
  </si>
  <si>
    <t>2F6002</t>
  </si>
  <si>
    <t>YXZD</t>
  </si>
  <si>
    <t>4F3402</t>
  </si>
  <si>
    <t>3F4202</t>
  </si>
  <si>
    <t>BODY ING</t>
  </si>
  <si>
    <t>4F3003</t>
  </si>
  <si>
    <t>FOSS PLUS</t>
  </si>
  <si>
    <t>1F3802</t>
    <phoneticPr fontId="58" type="noConversion"/>
  </si>
  <si>
    <t>3FD037</t>
  </si>
  <si>
    <t>B17801</t>
  </si>
  <si>
    <t>优禾生活</t>
  </si>
  <si>
    <t>4F2102</t>
  </si>
  <si>
    <t>MINISO 名创优品</t>
  </si>
  <si>
    <t>4FD036</t>
  </si>
  <si>
    <t>HI 百货水吧</t>
  </si>
  <si>
    <t>B10903</t>
  </si>
  <si>
    <t>MAKOTO 诚</t>
  </si>
  <si>
    <t>B11405</t>
  </si>
  <si>
    <t>SKIN FOOD</t>
  </si>
  <si>
    <t>8FD013</t>
  </si>
  <si>
    <t>肖蒙马卡龙</t>
  </si>
  <si>
    <t>6F1203</t>
    <phoneticPr fontId="40" type="noConversion"/>
  </si>
  <si>
    <t>8FD012</t>
    <phoneticPr fontId="40" type="noConversion"/>
  </si>
  <si>
    <t>4F2803</t>
  </si>
  <si>
    <t>TOMS</t>
  </si>
  <si>
    <t>5F3302</t>
  </si>
  <si>
    <t>全爱工匠</t>
  </si>
  <si>
    <t>7F0603</t>
  </si>
  <si>
    <t>心泰心厨</t>
  </si>
  <si>
    <t>3F29A1</t>
  </si>
  <si>
    <t>4F2903</t>
  </si>
  <si>
    <t>4F2903</t>
    <phoneticPr fontId="58" type="noConversion"/>
  </si>
  <si>
    <t>4F2903</t>
    <phoneticPr fontId="40" type="noConversion"/>
  </si>
  <si>
    <t>4F11B1</t>
  </si>
  <si>
    <t>ROCOCO</t>
  </si>
  <si>
    <t>上周日报日期</t>
    <phoneticPr fontId="40" type="noConversion"/>
  </si>
  <si>
    <t>4F2403</t>
    <phoneticPr fontId="58" type="noConversion"/>
  </si>
  <si>
    <t>4F2403</t>
    <phoneticPr fontId="40" type="noConversion"/>
  </si>
  <si>
    <t>4F6102</t>
  </si>
  <si>
    <t>8F26B1</t>
    <phoneticPr fontId="58" type="noConversion"/>
  </si>
  <si>
    <t>8F26B1</t>
    <phoneticPr fontId="40" type="noConversion"/>
  </si>
  <si>
    <t>2F4603</t>
  </si>
  <si>
    <t>2F5702</t>
  </si>
  <si>
    <t>4F2403</t>
  </si>
  <si>
    <t>8F26B1</t>
  </si>
  <si>
    <t>DISSONA</t>
  </si>
  <si>
    <t>ASH UNITED NUDE</t>
  </si>
  <si>
    <t>肚脐眼NAVEL</t>
  </si>
  <si>
    <t>SKECHERS</t>
  </si>
  <si>
    <t>阳光物语</t>
  </si>
  <si>
    <t>B8</t>
  </si>
  <si>
    <t>1F0302</t>
    <phoneticPr fontId="58" type="noConversion"/>
  </si>
  <si>
    <t>1F0302</t>
    <phoneticPr fontId="40" type="noConversion"/>
  </si>
  <si>
    <t>1F0302</t>
  </si>
  <si>
    <t>UGG</t>
  </si>
  <si>
    <t>4FD037</t>
  </si>
  <si>
    <t>4F0403</t>
  </si>
  <si>
    <t>5F14A2</t>
  </si>
  <si>
    <t>GNL</t>
  </si>
  <si>
    <t>FJALLRAVEN</t>
  </si>
  <si>
    <t>HANSA</t>
  </si>
  <si>
    <t>6F1501</t>
    <phoneticPr fontId="40" type="noConversion"/>
  </si>
  <si>
    <t>6F1501</t>
    <phoneticPr fontId="58" type="noConversion"/>
  </si>
  <si>
    <t>2F5401</t>
    <phoneticPr fontId="58" type="noConversion"/>
  </si>
  <si>
    <t>3F2902</t>
    <phoneticPr fontId="40" type="noConversion"/>
  </si>
  <si>
    <t>3F2902</t>
    <phoneticPr fontId="58" type="noConversion"/>
  </si>
  <si>
    <t>3FD039</t>
    <phoneticPr fontId="58" type="noConversion"/>
  </si>
  <si>
    <t>3FD039</t>
    <phoneticPr fontId="40" type="noConversion"/>
  </si>
  <si>
    <t>3F2902</t>
  </si>
  <si>
    <t>3FD041</t>
  </si>
  <si>
    <t>ROSEMUNDE</t>
  </si>
  <si>
    <t>SYL</t>
  </si>
  <si>
    <t>3F0701</t>
    <phoneticPr fontId="58" type="noConversion"/>
  </si>
  <si>
    <t>3F0701</t>
    <phoneticPr fontId="40" type="noConversion"/>
  </si>
  <si>
    <t>1F0403</t>
  </si>
  <si>
    <t>1F0402</t>
    <phoneticPr fontId="40" type="noConversion"/>
  </si>
  <si>
    <t>3F0701</t>
  </si>
  <si>
    <t>LOVE MOSCHINO</t>
  </si>
  <si>
    <t>5FD029</t>
  </si>
  <si>
    <t>陶然瓷坊</t>
  </si>
  <si>
    <t>3F3401</t>
  </si>
  <si>
    <t>1F3003</t>
  </si>
  <si>
    <t>3F3202</t>
  </si>
  <si>
    <t>SAMANSA MOS2</t>
  </si>
  <si>
    <t>D ZZIT</t>
  </si>
  <si>
    <t>1F3003</t>
    <phoneticPr fontId="58" type="noConversion"/>
  </si>
  <si>
    <t>1F3003</t>
    <phoneticPr fontId="40" type="noConversion"/>
  </si>
  <si>
    <t>3F3301</t>
  </si>
  <si>
    <t>单农</t>
  </si>
  <si>
    <t>5FD028</t>
  </si>
  <si>
    <t>兔子不在家</t>
  </si>
  <si>
    <t>3F320B</t>
  </si>
  <si>
    <t>SELECTED</t>
  </si>
  <si>
    <t>B17403</t>
  </si>
  <si>
    <t>ANE MONE</t>
  </si>
  <si>
    <t>3F0901</t>
  </si>
  <si>
    <t>B11803</t>
  </si>
  <si>
    <t>3F35A1</t>
    <phoneticPr fontId="40" type="noConversion"/>
  </si>
  <si>
    <t>3F35A1</t>
    <phoneticPr fontId="58" type="noConversion"/>
  </si>
  <si>
    <t>3FD038</t>
  </si>
  <si>
    <t>B10902</t>
  </si>
  <si>
    <t>B11604</t>
  </si>
  <si>
    <t>B15904</t>
  </si>
  <si>
    <t>3F35A1</t>
  </si>
  <si>
    <t>HOME TANG 堂悦坊</t>
  </si>
  <si>
    <t>elecom</t>
  </si>
  <si>
    <t>WAKE UP</t>
  </si>
  <si>
    <t>Teenie Weenie Café</t>
  </si>
  <si>
    <t>B11706</t>
  </si>
  <si>
    <t>3FD040</t>
  </si>
  <si>
    <t>CASIO</t>
  </si>
  <si>
    <t>I GOLD</t>
  </si>
  <si>
    <t>4FT062</t>
  </si>
  <si>
    <t>PAUL FRANK特卖</t>
  </si>
  <si>
    <t>4FT062</t>
    <phoneticPr fontId="58" type="noConversion"/>
  </si>
  <si>
    <t>4FT062</t>
    <phoneticPr fontId="40" type="noConversion"/>
  </si>
  <si>
    <t>2015.2.14情人节</t>
    <phoneticPr fontId="40" type="noConversion"/>
  </si>
  <si>
    <t>2015年最高纪录</t>
    <phoneticPr fontId="40" type="noConversion"/>
  </si>
  <si>
    <t>2016年最高纪录</t>
    <phoneticPr fontId="40" type="noConversion"/>
  </si>
  <si>
    <t>2015.9.20店庆</t>
  </si>
  <si>
    <t>2016.1.1</t>
  </si>
  <si>
    <t>2016.1.1</t>
    <phoneticPr fontId="40" type="noConversion"/>
  </si>
  <si>
    <t>2F0902</t>
  </si>
  <si>
    <t>2F0902</t>
    <phoneticPr fontId="58" type="noConversion"/>
  </si>
  <si>
    <t>2F0902</t>
    <phoneticPr fontId="40" type="noConversion"/>
  </si>
  <si>
    <t>HARDY HARDY</t>
  </si>
  <si>
    <t>3F2302</t>
  </si>
  <si>
    <t>H S</t>
  </si>
  <si>
    <t>6F03A2</t>
  </si>
  <si>
    <t>小面驾到</t>
  </si>
  <si>
    <t>3F3501</t>
  </si>
  <si>
    <t>MJUKA</t>
  </si>
  <si>
    <t>1F0403</t>
    <phoneticPr fontId="58" type="noConversion"/>
  </si>
  <si>
    <t>1F0403</t>
    <phoneticPr fontId="40" type="noConversion"/>
  </si>
  <si>
    <t>4FT006</t>
  </si>
  <si>
    <t>VM特卖</t>
  </si>
  <si>
    <t>4FT006</t>
    <phoneticPr fontId="58" type="noConversion"/>
  </si>
  <si>
    <t>4FT006</t>
    <phoneticPr fontId="40" type="noConversion"/>
  </si>
  <si>
    <t>5F1403</t>
    <phoneticPr fontId="40" type="noConversion"/>
  </si>
  <si>
    <t>5F1403</t>
    <phoneticPr fontId="58" type="noConversion"/>
  </si>
  <si>
    <t>5F1403</t>
  </si>
  <si>
    <t>LIJIA BABY</t>
  </si>
  <si>
    <t>B16603</t>
  </si>
  <si>
    <t>4FD041</t>
    <phoneticPr fontId="40" type="noConversion"/>
  </si>
  <si>
    <t>4FD041</t>
    <phoneticPr fontId="58" type="noConversion"/>
  </si>
  <si>
    <t>4FD041</t>
  </si>
  <si>
    <t>MIX-STYLE</t>
  </si>
  <si>
    <t>4FD021</t>
  </si>
  <si>
    <t>4FD021</t>
    <phoneticPr fontId="58" type="noConversion"/>
  </si>
  <si>
    <t>4FD021</t>
    <phoneticPr fontId="40" type="noConversion"/>
  </si>
  <si>
    <t>2F1503</t>
  </si>
  <si>
    <t>2F1503</t>
    <phoneticPr fontId="58" type="noConversion"/>
  </si>
  <si>
    <t>2F1503</t>
    <phoneticPr fontId="40" type="noConversion"/>
  </si>
  <si>
    <t>4FT020</t>
  </si>
  <si>
    <t>4FD042</t>
  </si>
  <si>
    <t>BAN XIAOXUE</t>
  </si>
  <si>
    <t>HULAHULA、SHEARERSUGG</t>
  </si>
  <si>
    <t>LE SAUNDA特卖</t>
  </si>
  <si>
    <t>4FT020</t>
    <phoneticPr fontId="40" type="noConversion"/>
  </si>
  <si>
    <t>4FD042</t>
    <phoneticPr fontId="40" type="noConversion"/>
  </si>
  <si>
    <t>4FT020</t>
    <phoneticPr fontId="58" type="noConversion"/>
  </si>
  <si>
    <t>4FD042</t>
    <phoneticPr fontId="58" type="noConversion"/>
  </si>
  <si>
    <t>4FT022</t>
  </si>
  <si>
    <t>TW、ROEM特卖</t>
  </si>
  <si>
    <t>2016.1.17</t>
    <phoneticPr fontId="40" type="noConversion"/>
  </si>
  <si>
    <t>2F3003</t>
  </si>
  <si>
    <t>6FT001</t>
    <phoneticPr fontId="40" type="noConversion"/>
  </si>
  <si>
    <t>6FT001</t>
    <phoneticPr fontId="58" type="noConversion"/>
  </si>
  <si>
    <t>6FT001</t>
  </si>
  <si>
    <t>2F5601</t>
    <phoneticPr fontId="58" type="noConversion"/>
  </si>
  <si>
    <t>2F5601</t>
    <phoneticPr fontId="40" type="noConversion"/>
  </si>
  <si>
    <t>2F5601</t>
  </si>
  <si>
    <t>WHAT FOR</t>
  </si>
  <si>
    <t>2F340A</t>
    <phoneticPr fontId="40" type="noConversion"/>
  </si>
  <si>
    <t>2F340A</t>
    <phoneticPr fontId="58" type="noConversion"/>
  </si>
  <si>
    <t>2F340A</t>
  </si>
  <si>
    <t>2F1103</t>
    <phoneticPr fontId="40" type="noConversion"/>
  </si>
  <si>
    <t>2F1103</t>
  </si>
  <si>
    <t>2F10A1</t>
  </si>
  <si>
    <t>IZZUE</t>
  </si>
  <si>
    <t>2F10B1</t>
  </si>
  <si>
    <t>CHOCOOLATE</t>
  </si>
  <si>
    <t>4FT009</t>
  </si>
  <si>
    <t>LEVI S特卖</t>
  </si>
  <si>
    <t>2F7001</t>
    <phoneticPr fontId="40" type="noConversion"/>
  </si>
  <si>
    <t>2F10A1</t>
    <phoneticPr fontId="40" type="noConversion"/>
  </si>
  <si>
    <t>1F3303</t>
    <phoneticPr fontId="58" type="noConversion"/>
  </si>
  <si>
    <t>1F3303</t>
    <phoneticPr fontId="40" type="noConversion"/>
  </si>
  <si>
    <t>1F3303</t>
  </si>
  <si>
    <t>FRED PERRY</t>
  </si>
  <si>
    <t>2F10B1</t>
    <phoneticPr fontId="58" type="noConversion"/>
  </si>
  <si>
    <t>3FD042</t>
  </si>
  <si>
    <t>ETRE PAR LEE</t>
  </si>
  <si>
    <t>4FT057</t>
    <phoneticPr fontId="58" type="noConversion"/>
  </si>
  <si>
    <t>4FT057</t>
    <phoneticPr fontId="40" type="noConversion"/>
  </si>
  <si>
    <t>4FT057</t>
  </si>
  <si>
    <t>4FT026</t>
  </si>
  <si>
    <t>JACK&amp;JONES特卖</t>
  </si>
  <si>
    <t>4FT028</t>
  </si>
  <si>
    <t>NEW BALANCE特卖</t>
  </si>
  <si>
    <t>4FD040</t>
  </si>
  <si>
    <t>阿飞正传</t>
  </si>
  <si>
    <t>3月累计</t>
  </si>
  <si>
    <t>4FT031</t>
  </si>
  <si>
    <t>BODY POPS特卖</t>
  </si>
  <si>
    <t>4FT043</t>
  </si>
  <si>
    <t>IMI S特卖</t>
  </si>
  <si>
    <t>集美红酒</t>
    <phoneticPr fontId="58" type="noConversion"/>
  </si>
  <si>
    <t>一品三笑</t>
    <phoneticPr fontId="58" type="noConversion"/>
  </si>
  <si>
    <t>萨丁小厨</t>
    <phoneticPr fontId="58" type="noConversion"/>
  </si>
  <si>
    <t>胡椒厨房</t>
    <phoneticPr fontId="58" type="noConversion"/>
  </si>
  <si>
    <t>鲜饮空间</t>
    <phoneticPr fontId="58" type="noConversion"/>
  </si>
  <si>
    <t>丸龟制面</t>
    <phoneticPr fontId="58" type="noConversion"/>
  </si>
  <si>
    <t>澳门味道</t>
    <phoneticPr fontId="58" type="noConversion"/>
  </si>
  <si>
    <t>NEW YORK FRIES</t>
    <phoneticPr fontId="58" type="noConversion"/>
  </si>
  <si>
    <t>贝尔多爸爸</t>
    <phoneticPr fontId="58" type="noConversion"/>
  </si>
  <si>
    <t>呷哺呷哺</t>
    <phoneticPr fontId="58" type="noConversion"/>
  </si>
  <si>
    <t>阳光物语</t>
    <phoneticPr fontId="58" type="noConversion"/>
  </si>
  <si>
    <t>COLDSTONE</t>
    <phoneticPr fontId="58" type="noConversion"/>
  </si>
  <si>
    <t>酷姆思CRUMBS</t>
    <phoneticPr fontId="58" type="noConversion"/>
  </si>
  <si>
    <t>香记肉干</t>
    <phoneticPr fontId="58" type="noConversion"/>
  </si>
  <si>
    <t>爱有梅有</t>
    <phoneticPr fontId="58" type="noConversion"/>
  </si>
  <si>
    <t>太平洋咖啡</t>
    <phoneticPr fontId="58" type="noConversion"/>
  </si>
  <si>
    <t>Millons of milkshakes</t>
    <phoneticPr fontId="58" type="noConversion"/>
  </si>
  <si>
    <t>租宝戴戴</t>
    <phoneticPr fontId="58" type="noConversion"/>
  </si>
  <si>
    <t>乐客VR</t>
    <phoneticPr fontId="58" type="noConversion"/>
  </si>
  <si>
    <t>肖蒙马卡龙</t>
    <phoneticPr fontId="58" type="noConversion"/>
  </si>
  <si>
    <t>金逸影院</t>
    <phoneticPr fontId="58" type="noConversion"/>
  </si>
  <si>
    <t>文教娱乐</t>
    <phoneticPr fontId="40" type="noConversion"/>
  </si>
  <si>
    <t>MAMALOOK</t>
    <phoneticPr fontId="40" type="noConversion"/>
  </si>
  <si>
    <t>皮具</t>
    <phoneticPr fontId="40" type="noConversion"/>
  </si>
  <si>
    <t>MIX-STYLE</t>
    <phoneticPr fontId="40" type="noConversion"/>
  </si>
  <si>
    <t>数码电器</t>
    <phoneticPr fontId="40" type="noConversion"/>
  </si>
  <si>
    <t>HI KOREA</t>
    <phoneticPr fontId="40" type="noConversion"/>
  </si>
  <si>
    <t>HI 百货</t>
    <phoneticPr fontId="40" type="noConversion"/>
  </si>
  <si>
    <t>ZIPPO等</t>
    <phoneticPr fontId="40" type="noConversion"/>
  </si>
  <si>
    <t>TOTORO</t>
    <phoneticPr fontId="40" type="noConversion"/>
  </si>
  <si>
    <t>GYMBOREE</t>
    <phoneticPr fontId="40" type="noConversion"/>
  </si>
  <si>
    <t>BABYLAND</t>
    <phoneticPr fontId="40" type="noConversion"/>
  </si>
  <si>
    <t>ROOKIE</t>
    <phoneticPr fontId="40" type="noConversion"/>
  </si>
  <si>
    <t>LIJIA BABY</t>
    <phoneticPr fontId="40" type="noConversion"/>
  </si>
  <si>
    <t>HANSA</t>
    <phoneticPr fontId="40" type="noConversion"/>
  </si>
  <si>
    <t>雅咪贝贝</t>
    <phoneticPr fontId="40" type="noConversion"/>
  </si>
  <si>
    <t>LEGO</t>
    <phoneticPr fontId="40" type="noConversion"/>
  </si>
  <si>
    <t>ADIDAS KIDS</t>
    <phoneticPr fontId="40" type="noConversion"/>
  </si>
  <si>
    <t>NIKE KIDS</t>
    <phoneticPr fontId="40" type="noConversion"/>
  </si>
  <si>
    <t>RAG-MART</t>
    <phoneticPr fontId="40" type="noConversion"/>
  </si>
  <si>
    <t>DPAM</t>
    <phoneticPr fontId="40" type="noConversion"/>
  </si>
  <si>
    <t>Stride rite</t>
    <phoneticPr fontId="40" type="noConversion"/>
  </si>
  <si>
    <t>陶然瓷坊</t>
    <phoneticPr fontId="40" type="noConversion"/>
  </si>
  <si>
    <t>尚品宅配</t>
    <phoneticPr fontId="40" type="noConversion"/>
  </si>
  <si>
    <t>同或绘馆</t>
    <phoneticPr fontId="40" type="noConversion"/>
  </si>
  <si>
    <t>DISC</t>
    <phoneticPr fontId="40" type="noConversion"/>
  </si>
  <si>
    <t>曼思欢乐厨房</t>
    <phoneticPr fontId="40" type="noConversion"/>
  </si>
  <si>
    <t>兔子不在家</t>
    <phoneticPr fontId="40" type="noConversion"/>
  </si>
  <si>
    <t>金逸影院</t>
    <phoneticPr fontId="40" type="noConversion"/>
  </si>
  <si>
    <t>八八空间</t>
    <phoneticPr fontId="40" type="noConversion"/>
  </si>
  <si>
    <t>柏斯琴行</t>
    <phoneticPr fontId="40" type="noConversion"/>
  </si>
  <si>
    <t>UNCLE SMITH</t>
    <phoneticPr fontId="40" type="noConversion"/>
  </si>
  <si>
    <t>ABC COOKING STUDIO</t>
    <phoneticPr fontId="40" type="noConversion"/>
  </si>
  <si>
    <t>综合服务</t>
    <phoneticPr fontId="40" type="noConversion"/>
  </si>
  <si>
    <t>SEPHORA</t>
    <phoneticPr fontId="58" type="noConversion"/>
  </si>
  <si>
    <t>MUJI</t>
    <phoneticPr fontId="58" type="noConversion"/>
  </si>
  <si>
    <t>HOLA</t>
    <phoneticPr fontId="58" type="noConversion"/>
  </si>
  <si>
    <t>优衣库</t>
    <phoneticPr fontId="58" type="noConversion"/>
  </si>
  <si>
    <t>朝阳科技广场</t>
    <phoneticPr fontId="58" type="noConversion"/>
  </si>
  <si>
    <t>TOYS R US</t>
    <phoneticPr fontId="58" type="noConversion"/>
  </si>
  <si>
    <t>冠军冰场</t>
    <phoneticPr fontId="58" type="noConversion"/>
  </si>
  <si>
    <t>TUTUANNA</t>
    <phoneticPr fontId="58" type="noConversion"/>
  </si>
  <si>
    <t>CYO VAPE</t>
    <phoneticPr fontId="58" type="noConversion"/>
  </si>
  <si>
    <t>优禾生活</t>
    <phoneticPr fontId="58" type="noConversion"/>
  </si>
  <si>
    <t>UNCLE SMITH</t>
    <phoneticPr fontId="58" type="noConversion"/>
  </si>
  <si>
    <t>HUSH</t>
    <phoneticPr fontId="58" type="noConversion"/>
  </si>
  <si>
    <t>丽时美发</t>
    <phoneticPr fontId="58" type="noConversion"/>
  </si>
  <si>
    <t>ABC COOKING STUDIO</t>
    <phoneticPr fontId="58" type="noConversion"/>
  </si>
  <si>
    <t>POP MART</t>
    <phoneticPr fontId="58" type="noConversion"/>
  </si>
  <si>
    <t>宝岛眼镜</t>
    <phoneticPr fontId="58" type="noConversion"/>
  </si>
  <si>
    <t>B.DUCK</t>
    <phoneticPr fontId="58" type="noConversion"/>
  </si>
  <si>
    <t>AGATHA</t>
    <phoneticPr fontId="58" type="noConversion"/>
  </si>
  <si>
    <t>面包新语</t>
    <phoneticPr fontId="58" type="noConversion"/>
  </si>
  <si>
    <t>EDIBLE</t>
    <phoneticPr fontId="58" type="noConversion"/>
  </si>
  <si>
    <t>西树泡芙</t>
    <phoneticPr fontId="58" type="noConversion"/>
  </si>
  <si>
    <t>池田寿司</t>
    <phoneticPr fontId="58" type="noConversion"/>
  </si>
  <si>
    <t>西少爷肉夹馍</t>
    <phoneticPr fontId="58" type="noConversion"/>
  </si>
  <si>
    <t>CICIG</t>
    <phoneticPr fontId="58" type="noConversion"/>
  </si>
  <si>
    <t>有机地球</t>
    <phoneticPr fontId="58" type="noConversion"/>
  </si>
  <si>
    <t>COOL4</t>
    <phoneticPr fontId="58" type="noConversion"/>
  </si>
  <si>
    <t>NUZZLE</t>
    <phoneticPr fontId="58" type="noConversion"/>
  </si>
  <si>
    <t>BONE</t>
    <phoneticPr fontId="58" type="noConversion"/>
  </si>
  <si>
    <t>优之良品</t>
    <phoneticPr fontId="58" type="noConversion"/>
  </si>
  <si>
    <t>槑玩槑了</t>
    <phoneticPr fontId="58" type="noConversion"/>
  </si>
  <si>
    <t>快乐柠檬</t>
    <phoneticPr fontId="58" type="noConversion"/>
  </si>
  <si>
    <t>弹丸滋地</t>
    <phoneticPr fontId="58" type="noConversion"/>
  </si>
  <si>
    <t>渔夫得利</t>
    <phoneticPr fontId="58" type="noConversion"/>
  </si>
  <si>
    <t>小尾盐酥鸡</t>
    <phoneticPr fontId="58" type="noConversion"/>
  </si>
  <si>
    <t>MAX FACTOR</t>
    <phoneticPr fontId="58" type="noConversion"/>
  </si>
  <si>
    <t>HITOMI</t>
    <phoneticPr fontId="58" type="noConversion"/>
  </si>
  <si>
    <t>SKIN FOOD</t>
    <phoneticPr fontId="58" type="noConversion"/>
  </si>
  <si>
    <t>悦木之源</t>
    <phoneticPr fontId="58" type="noConversion"/>
  </si>
  <si>
    <t>XOXO</t>
    <phoneticPr fontId="58" type="noConversion"/>
  </si>
  <si>
    <t>霍尼韦尔</t>
    <phoneticPr fontId="58" type="noConversion"/>
  </si>
  <si>
    <t>恋暖初茶</t>
    <phoneticPr fontId="58" type="noConversion"/>
  </si>
  <si>
    <t>自然之宝</t>
    <phoneticPr fontId="58" type="noConversion"/>
  </si>
  <si>
    <t>北澳宝蓝</t>
    <phoneticPr fontId="58" type="noConversion"/>
  </si>
  <si>
    <t>吧台料理烘培工坊</t>
    <phoneticPr fontId="58" type="noConversion"/>
  </si>
  <si>
    <t>哈霸欧顶</t>
    <phoneticPr fontId="58" type="noConversion"/>
  </si>
  <si>
    <t>DYSON</t>
    <phoneticPr fontId="58" type="noConversion"/>
  </si>
  <si>
    <t>CHAUMONT</t>
    <phoneticPr fontId="58" type="noConversion"/>
  </si>
  <si>
    <t>HOME TANG 堂悦坊</t>
    <phoneticPr fontId="58" type="noConversion"/>
  </si>
  <si>
    <t>YANKEE CANDLE</t>
    <phoneticPr fontId="58" type="noConversion"/>
  </si>
  <si>
    <t>MAKOTO 诚</t>
    <phoneticPr fontId="58" type="noConversion"/>
  </si>
  <si>
    <t>KLYDO</t>
    <phoneticPr fontId="58" type="noConversion"/>
  </si>
  <si>
    <t>CANDY MASTER</t>
    <phoneticPr fontId="58" type="noConversion"/>
  </si>
  <si>
    <t>安赛朵拉</t>
    <phoneticPr fontId="58" type="noConversion"/>
  </si>
  <si>
    <t>CAMPO MARZIO</t>
    <phoneticPr fontId="58" type="noConversion"/>
  </si>
  <si>
    <t>LAMY</t>
    <phoneticPr fontId="58" type="noConversion"/>
  </si>
  <si>
    <t>INCOCO</t>
    <phoneticPr fontId="58" type="noConversion"/>
  </si>
  <si>
    <t>FANTASTICK</t>
    <phoneticPr fontId="58" type="noConversion"/>
  </si>
  <si>
    <t>SOYYU</t>
    <phoneticPr fontId="58" type="noConversion"/>
  </si>
  <si>
    <t>ANE MONE</t>
    <phoneticPr fontId="58" type="noConversion"/>
  </si>
  <si>
    <t>U.SCEN</t>
    <phoneticPr fontId="58" type="noConversion"/>
  </si>
  <si>
    <t>迷你美珠</t>
    <phoneticPr fontId="58" type="noConversion"/>
  </si>
  <si>
    <t>SWATCH</t>
    <phoneticPr fontId="58" type="noConversion"/>
  </si>
  <si>
    <t>小鬼当佳</t>
    <phoneticPr fontId="58" type="noConversion"/>
  </si>
  <si>
    <t>优贝施进口药妆</t>
    <phoneticPr fontId="58" type="noConversion"/>
  </si>
  <si>
    <t>美车堂B2</t>
    <phoneticPr fontId="58" type="noConversion"/>
  </si>
  <si>
    <t>MELVITA</t>
    <phoneticPr fontId="58" type="noConversion"/>
  </si>
  <si>
    <t>LONGINES</t>
    <phoneticPr fontId="58" type="noConversion"/>
  </si>
  <si>
    <t>LOVE MOSCHINO</t>
    <phoneticPr fontId="58" type="noConversion"/>
  </si>
  <si>
    <t>PANDORA</t>
    <phoneticPr fontId="58" type="noConversion"/>
  </si>
  <si>
    <t>L’OCCITANE</t>
    <phoneticPr fontId="58" type="noConversion"/>
  </si>
  <si>
    <t>ORIGINS</t>
    <phoneticPr fontId="58" type="noConversion"/>
  </si>
  <si>
    <t>C1 HUT</t>
    <phoneticPr fontId="58" type="noConversion"/>
  </si>
  <si>
    <t>TISSOT</t>
    <phoneticPr fontId="58" type="noConversion"/>
  </si>
  <si>
    <t>TOMMY HILFIGER</t>
    <phoneticPr fontId="58" type="noConversion"/>
  </si>
  <si>
    <t>DKNY</t>
    <phoneticPr fontId="58" type="noConversion"/>
  </si>
  <si>
    <t>J.LINDEBERG</t>
    <phoneticPr fontId="58" type="noConversion"/>
  </si>
  <si>
    <t>I DO</t>
    <phoneticPr fontId="58" type="noConversion"/>
  </si>
  <si>
    <t>INNISFREE</t>
    <phoneticPr fontId="58" type="noConversion"/>
  </si>
  <si>
    <t>BROOKS BROTHERS</t>
    <phoneticPr fontId="58" type="noConversion"/>
  </si>
  <si>
    <t>FOLLI FOLLIE</t>
    <phoneticPr fontId="58" type="noConversion"/>
  </si>
  <si>
    <t>EVISU</t>
    <phoneticPr fontId="58" type="noConversion"/>
  </si>
  <si>
    <t>FRED PERRY</t>
    <phoneticPr fontId="58" type="noConversion"/>
  </si>
  <si>
    <t>AAPE</t>
    <phoneticPr fontId="58" type="noConversion"/>
  </si>
  <si>
    <t>CHARLES&amp;KEITH</t>
    <phoneticPr fontId="58" type="noConversion"/>
  </si>
  <si>
    <t>SWAROVSKI</t>
    <phoneticPr fontId="58" type="noConversion"/>
  </si>
  <si>
    <t>GUCCI</t>
    <phoneticPr fontId="58" type="noConversion"/>
  </si>
  <si>
    <t>APM MONACO</t>
    <phoneticPr fontId="58" type="noConversion"/>
  </si>
  <si>
    <t>JILL STUART</t>
    <phoneticPr fontId="58" type="noConversion"/>
  </si>
  <si>
    <t>Kiehl's</t>
    <phoneticPr fontId="58" type="noConversion"/>
  </si>
  <si>
    <t>ZARA HOME</t>
    <phoneticPr fontId="58" type="noConversion"/>
  </si>
  <si>
    <t>ZARA</t>
    <phoneticPr fontId="58" type="noConversion"/>
  </si>
  <si>
    <t>MR.DOGGY</t>
    <phoneticPr fontId="58" type="noConversion"/>
  </si>
  <si>
    <t>Hollister</t>
    <phoneticPr fontId="58" type="noConversion"/>
  </si>
  <si>
    <t>COVER GARDEN</t>
    <phoneticPr fontId="58" type="noConversion"/>
  </si>
  <si>
    <t>SIQIN</t>
    <phoneticPr fontId="58" type="noConversion"/>
  </si>
  <si>
    <t>ECCO</t>
    <phoneticPr fontId="58" type="noConversion"/>
  </si>
  <si>
    <t>IZZUE</t>
    <phoneticPr fontId="58" type="noConversion"/>
  </si>
  <si>
    <t>CHOCOOLATE</t>
    <phoneticPr fontId="58" type="noConversion"/>
  </si>
  <si>
    <t>CLARKS</t>
    <phoneticPr fontId="58" type="noConversion"/>
  </si>
  <si>
    <t>TANNI</t>
    <phoneticPr fontId="58" type="noConversion"/>
  </si>
  <si>
    <t>HARDY HARDY</t>
    <phoneticPr fontId="58" type="noConversion"/>
  </si>
  <si>
    <t>MOUSSY</t>
    <phoneticPr fontId="58" type="noConversion"/>
  </si>
  <si>
    <t>G-STAR RAW</t>
    <phoneticPr fontId="58" type="noConversion"/>
  </si>
  <si>
    <t>MISS SIXTY</t>
    <phoneticPr fontId="58" type="noConversion"/>
  </si>
  <si>
    <t>BAN XIAOXUE</t>
    <phoneticPr fontId="58" type="noConversion"/>
  </si>
  <si>
    <t>III VIVINIKO</t>
    <phoneticPr fontId="58" type="noConversion"/>
  </si>
  <si>
    <t>ZUCZUG</t>
    <phoneticPr fontId="58" type="noConversion"/>
  </si>
  <si>
    <t>ICICLE</t>
    <phoneticPr fontId="58" type="noConversion"/>
  </si>
  <si>
    <t>FIONA CHEN</t>
    <phoneticPr fontId="58" type="noConversion"/>
  </si>
  <si>
    <t>GEROLAMO</t>
    <phoneticPr fontId="58" type="noConversion"/>
  </si>
  <si>
    <t>YINER</t>
    <phoneticPr fontId="58" type="noConversion"/>
  </si>
  <si>
    <t>TRIBECA</t>
    <phoneticPr fontId="58" type="noConversion"/>
  </si>
  <si>
    <t>JESSIE</t>
    <phoneticPr fontId="58" type="noConversion"/>
  </si>
  <si>
    <t>LE SAUNDA</t>
    <phoneticPr fontId="58" type="noConversion"/>
  </si>
  <si>
    <t>VERO MODA</t>
    <phoneticPr fontId="58" type="noConversion"/>
  </si>
  <si>
    <t>JACK&amp;JONES</t>
    <phoneticPr fontId="58" type="noConversion"/>
  </si>
  <si>
    <t>BOSA</t>
    <phoneticPr fontId="58" type="noConversion"/>
  </si>
  <si>
    <t>CALVIN KLEIN UNDERWEAR</t>
    <phoneticPr fontId="58" type="noConversion"/>
  </si>
  <si>
    <t>CALVIN KLEIN JEANS</t>
    <phoneticPr fontId="58" type="noConversion"/>
  </si>
  <si>
    <t>EITIE</t>
    <phoneticPr fontId="58" type="noConversion"/>
  </si>
  <si>
    <t>ZUKKA PRO</t>
    <phoneticPr fontId="58" type="noConversion"/>
  </si>
  <si>
    <t>DISSONA</t>
    <phoneticPr fontId="58" type="noConversion"/>
  </si>
  <si>
    <t>CHRISS DELLA MODA</t>
    <phoneticPr fontId="58" type="noConversion"/>
  </si>
  <si>
    <t>LESS</t>
    <phoneticPr fontId="58" type="noConversion"/>
  </si>
  <si>
    <t>LAVINIA</t>
    <phoneticPr fontId="58" type="noConversion"/>
  </si>
  <si>
    <t>NEON</t>
    <phoneticPr fontId="58" type="noConversion"/>
  </si>
  <si>
    <t>ANNE KAREN</t>
    <phoneticPr fontId="58" type="noConversion"/>
  </si>
  <si>
    <t>WHAT FOR</t>
    <phoneticPr fontId="58" type="noConversion"/>
  </si>
  <si>
    <t>ASH UNITED NUDE</t>
    <phoneticPr fontId="58" type="noConversion"/>
  </si>
  <si>
    <t>MILLES/ELLE/BCBG</t>
    <phoneticPr fontId="58" type="noConversion"/>
  </si>
  <si>
    <t>YXZD</t>
    <phoneticPr fontId="58" type="noConversion"/>
  </si>
  <si>
    <t>KAVON</t>
    <phoneticPr fontId="58" type="noConversion"/>
  </si>
  <si>
    <t>KORADIOR</t>
    <phoneticPr fontId="58" type="noConversion"/>
  </si>
  <si>
    <t>SNIDEL、LILY BROWN</t>
    <phoneticPr fontId="58" type="noConversion"/>
  </si>
  <si>
    <t>MASFER SU</t>
    <phoneticPr fontId="58" type="noConversion"/>
  </si>
  <si>
    <t>STACCATO</t>
    <phoneticPr fontId="58" type="noConversion"/>
  </si>
  <si>
    <t>BEVIVO</t>
    <phoneticPr fontId="58" type="noConversion"/>
  </si>
  <si>
    <t>FORNET 福奈特</t>
    <phoneticPr fontId="58" type="noConversion"/>
  </si>
  <si>
    <t>RIME</t>
    <phoneticPr fontId="58" type="noConversion"/>
  </si>
  <si>
    <t>TATA</t>
    <phoneticPr fontId="58" type="noConversion"/>
  </si>
  <si>
    <t>CHIHIRO BY S.K.</t>
    <phoneticPr fontId="58" type="noConversion"/>
  </si>
  <si>
    <t>WALKER ONE</t>
    <phoneticPr fontId="58" type="noConversion"/>
  </si>
  <si>
    <t>CAVIENO</t>
    <phoneticPr fontId="58" type="noConversion"/>
  </si>
  <si>
    <t>BATA</t>
    <phoneticPr fontId="58" type="noConversion"/>
  </si>
  <si>
    <t>TEENMIX</t>
    <phoneticPr fontId="58" type="noConversion"/>
  </si>
  <si>
    <t>monki</t>
    <phoneticPr fontId="58" type="noConversion"/>
  </si>
  <si>
    <t>new look</t>
    <phoneticPr fontId="58" type="noConversion"/>
  </si>
  <si>
    <t>AVVN</t>
    <phoneticPr fontId="58" type="noConversion"/>
  </si>
  <si>
    <t>LEVI'S</t>
    <phoneticPr fontId="58" type="noConversion"/>
  </si>
  <si>
    <t>BANILA CO</t>
    <phoneticPr fontId="58" type="noConversion"/>
  </si>
  <si>
    <t>江南布衣</t>
    <phoneticPr fontId="58" type="noConversion"/>
  </si>
  <si>
    <t>MO&amp;CO</t>
    <phoneticPr fontId="58" type="noConversion"/>
  </si>
  <si>
    <t>Ochirly</t>
    <phoneticPr fontId="58" type="noConversion"/>
  </si>
  <si>
    <t>ONLY</t>
    <phoneticPr fontId="58" type="noConversion"/>
  </si>
  <si>
    <t>SELECTED</t>
    <phoneticPr fontId="58" type="noConversion"/>
  </si>
  <si>
    <t>ZCZZ</t>
    <phoneticPr fontId="58" type="noConversion"/>
  </si>
  <si>
    <t>COSA</t>
    <phoneticPr fontId="58" type="noConversion"/>
  </si>
  <si>
    <t>FIVE PLUS</t>
    <phoneticPr fontId="58" type="noConversion"/>
  </si>
  <si>
    <t>TEENIE WEENIE</t>
    <phoneticPr fontId="58" type="noConversion"/>
  </si>
  <si>
    <t>BASIC HOUSE</t>
    <phoneticPr fontId="58" type="noConversion"/>
  </si>
  <si>
    <t>L'ARMADIO</t>
    <phoneticPr fontId="58" type="noConversion"/>
  </si>
  <si>
    <t>紫齐百合</t>
    <phoneticPr fontId="58" type="noConversion"/>
  </si>
  <si>
    <t>FOREVER NEW</t>
    <phoneticPr fontId="58" type="noConversion"/>
  </si>
  <si>
    <t>CK PERFORMANCE</t>
    <phoneticPr fontId="58" type="noConversion"/>
  </si>
  <si>
    <t>PRICH</t>
    <phoneticPr fontId="58" type="noConversion"/>
  </si>
  <si>
    <t>EARTH MUSIC</t>
    <phoneticPr fontId="58" type="noConversion"/>
  </si>
  <si>
    <t>TRENDIANO</t>
    <phoneticPr fontId="58" type="noConversion"/>
  </si>
  <si>
    <t>ROSEMUNDE</t>
    <phoneticPr fontId="58" type="noConversion"/>
  </si>
  <si>
    <t>SEASON WIND</t>
    <phoneticPr fontId="58" type="noConversion"/>
  </si>
  <si>
    <t>D ZZIT</t>
    <phoneticPr fontId="58" type="noConversion"/>
  </si>
  <si>
    <t>HUSH PUPPIES</t>
    <phoneticPr fontId="58" type="noConversion"/>
  </si>
  <si>
    <t>SAMANSA MOS2</t>
    <phoneticPr fontId="58" type="noConversion"/>
  </si>
  <si>
    <t>WAKE UP</t>
    <phoneticPr fontId="58" type="noConversion"/>
  </si>
  <si>
    <t>MJUKA</t>
    <phoneticPr fontId="58" type="noConversion"/>
  </si>
  <si>
    <t>BOUTHENTIQUE</t>
    <phoneticPr fontId="58" type="noConversion"/>
  </si>
  <si>
    <t>数码维修</t>
    <phoneticPr fontId="58" type="noConversion"/>
  </si>
  <si>
    <t>服装修改</t>
    <phoneticPr fontId="58" type="noConversion"/>
  </si>
  <si>
    <t>ADIDAS ORIGINALS</t>
    <phoneticPr fontId="58" type="noConversion"/>
  </si>
  <si>
    <t>BODY ING</t>
    <phoneticPr fontId="58" type="noConversion"/>
  </si>
  <si>
    <t>LOWRYS FARM等</t>
    <phoneticPr fontId="58" type="noConversion"/>
  </si>
  <si>
    <t>ONE MORE</t>
    <phoneticPr fontId="58" type="noConversion"/>
  </si>
  <si>
    <t>PEACH JOHN</t>
    <phoneticPr fontId="58" type="noConversion"/>
  </si>
  <si>
    <t>MIND BRIDGE</t>
    <phoneticPr fontId="58" type="noConversion"/>
  </si>
  <si>
    <t>MIKIBANA</t>
    <phoneticPr fontId="58" type="noConversion"/>
  </si>
  <si>
    <t>MARIE N‘ MARY</t>
    <phoneticPr fontId="58" type="noConversion"/>
  </si>
  <si>
    <t>DAZZLE</t>
    <phoneticPr fontId="58" type="noConversion"/>
  </si>
  <si>
    <t>ODBO</t>
    <phoneticPr fontId="58" type="noConversion"/>
  </si>
  <si>
    <t>DR.MARTIN</t>
    <phoneticPr fontId="58" type="noConversion"/>
  </si>
  <si>
    <t>IPKN</t>
    <phoneticPr fontId="58" type="noConversion"/>
  </si>
  <si>
    <t>RUBY ANG</t>
    <phoneticPr fontId="58" type="noConversion"/>
  </si>
  <si>
    <t>ELLIALOVERRO</t>
    <phoneticPr fontId="58" type="noConversion"/>
  </si>
  <si>
    <t>缤纷色彩</t>
    <phoneticPr fontId="58" type="noConversion"/>
  </si>
  <si>
    <t>MRKT</t>
    <phoneticPr fontId="58" type="noConversion"/>
  </si>
  <si>
    <t>FRANGI</t>
    <phoneticPr fontId="58" type="noConversion"/>
  </si>
  <si>
    <t>GUESS</t>
    <phoneticPr fontId="58" type="noConversion"/>
  </si>
  <si>
    <t>Teenie Weenie Café</t>
    <phoneticPr fontId="58" type="noConversion"/>
  </si>
  <si>
    <t>I GOLD</t>
    <phoneticPr fontId="58" type="noConversion"/>
  </si>
  <si>
    <t>CONVERSE</t>
    <phoneticPr fontId="58" type="noConversion"/>
  </si>
  <si>
    <t>LALABOBO</t>
    <phoneticPr fontId="58" type="noConversion"/>
  </si>
  <si>
    <t>WESTLINK</t>
    <phoneticPr fontId="58" type="noConversion"/>
  </si>
  <si>
    <t>LILY</t>
    <phoneticPr fontId="58" type="noConversion"/>
  </si>
  <si>
    <t>HI PANDA</t>
    <phoneticPr fontId="58" type="noConversion"/>
  </si>
  <si>
    <t>AOJO</t>
    <phoneticPr fontId="58" type="noConversion"/>
  </si>
  <si>
    <t>阪织屋 BANDGEWOO</t>
    <phoneticPr fontId="58" type="noConversion"/>
  </si>
  <si>
    <t>KIPLING</t>
    <phoneticPr fontId="58" type="noConversion"/>
  </si>
  <si>
    <t>MATERIAL GIRL</t>
    <phoneticPr fontId="58" type="noConversion"/>
  </si>
  <si>
    <t>肚脐眼NAVEL</t>
    <phoneticPr fontId="58" type="noConversion"/>
  </si>
  <si>
    <t>SANRIO</t>
    <phoneticPr fontId="58" type="noConversion"/>
  </si>
  <si>
    <t>ROCOCO</t>
    <phoneticPr fontId="58" type="noConversion"/>
  </si>
  <si>
    <t>酷乐潮玩</t>
    <phoneticPr fontId="58" type="noConversion"/>
  </si>
  <si>
    <t>美丽田园</t>
    <phoneticPr fontId="58" type="noConversion"/>
  </si>
  <si>
    <t>麦淇舍宾</t>
    <phoneticPr fontId="58" type="noConversion"/>
  </si>
  <si>
    <t>BOY LONDON</t>
    <phoneticPr fontId="58" type="noConversion"/>
  </si>
  <si>
    <t>TEN MIRO</t>
    <phoneticPr fontId="58" type="noConversion"/>
  </si>
  <si>
    <t>NASNA</t>
    <phoneticPr fontId="58" type="noConversion"/>
  </si>
  <si>
    <t>JUCY JUDY</t>
    <phoneticPr fontId="58" type="noConversion"/>
  </si>
  <si>
    <t>HOTWIND</t>
    <phoneticPr fontId="58" type="noConversion"/>
  </si>
  <si>
    <t>MINISO 名创优品</t>
    <phoneticPr fontId="58" type="noConversion"/>
  </si>
  <si>
    <t>EVES TEMPTATION</t>
    <phoneticPr fontId="58" type="noConversion"/>
  </si>
  <si>
    <t>MEET MIMIQ</t>
    <phoneticPr fontId="58" type="noConversion"/>
  </si>
  <si>
    <t>AJIDOU</t>
    <phoneticPr fontId="58" type="noConversion"/>
  </si>
  <si>
    <t>PAUL FRANK</t>
    <phoneticPr fontId="58" type="noConversion"/>
  </si>
  <si>
    <t>TOMS</t>
    <phoneticPr fontId="58" type="noConversion"/>
  </si>
  <si>
    <t>MS FLORA</t>
    <phoneticPr fontId="58" type="noConversion"/>
  </si>
  <si>
    <t>REEMOOR</t>
    <phoneticPr fontId="58" type="noConversion"/>
  </si>
  <si>
    <t>FOSS PLUS</t>
    <phoneticPr fontId="58" type="noConversion"/>
  </si>
  <si>
    <t>EBLIN</t>
    <phoneticPr fontId="58" type="noConversion"/>
  </si>
  <si>
    <t>COLUMBIA等</t>
    <phoneticPr fontId="58" type="noConversion"/>
  </si>
  <si>
    <t>BODY POPS</t>
    <phoneticPr fontId="58" type="noConversion"/>
  </si>
  <si>
    <t>爱美丽/IMI'S</t>
    <phoneticPr fontId="58" type="noConversion"/>
  </si>
  <si>
    <t>PANCOAT</t>
    <phoneticPr fontId="58" type="noConversion"/>
  </si>
  <si>
    <t>E-LAND</t>
    <phoneticPr fontId="58" type="noConversion"/>
  </si>
  <si>
    <t>THE SHOES BAR</t>
    <phoneticPr fontId="58" type="noConversion"/>
  </si>
  <si>
    <t>速写CROQUIS</t>
    <phoneticPr fontId="58" type="noConversion"/>
  </si>
  <si>
    <t>MOMO</t>
    <phoneticPr fontId="58" type="noConversion"/>
  </si>
  <si>
    <t>NIKE 360</t>
    <phoneticPr fontId="58" type="noConversion"/>
  </si>
  <si>
    <t>NIKE</t>
    <phoneticPr fontId="58" type="noConversion"/>
  </si>
  <si>
    <t>NEW BALANCE</t>
    <phoneticPr fontId="58" type="noConversion"/>
  </si>
  <si>
    <t>HI 百货水吧</t>
    <phoneticPr fontId="58" type="noConversion"/>
  </si>
  <si>
    <t>FJALLRAVEN</t>
    <phoneticPr fontId="58" type="noConversion"/>
  </si>
  <si>
    <t>阿飞正传</t>
    <phoneticPr fontId="58" type="noConversion"/>
  </si>
  <si>
    <t>MIX-STYLE</t>
    <phoneticPr fontId="58" type="noConversion"/>
  </si>
  <si>
    <t>HI KOREA</t>
    <phoneticPr fontId="58" type="noConversion"/>
  </si>
  <si>
    <t>HI 百货</t>
    <phoneticPr fontId="58" type="noConversion"/>
  </si>
  <si>
    <t>ADIDAS</t>
    <phoneticPr fontId="58" type="noConversion"/>
  </si>
  <si>
    <t>UNDER ARMOUR</t>
    <phoneticPr fontId="58" type="noConversion"/>
  </si>
  <si>
    <t>VANS</t>
    <phoneticPr fontId="58" type="noConversion"/>
  </si>
  <si>
    <t>SKECHERS</t>
    <phoneticPr fontId="58" type="noConversion"/>
  </si>
  <si>
    <t>HULAHULA、SHEARERSUGG</t>
    <phoneticPr fontId="58" type="noConversion"/>
  </si>
  <si>
    <t>BLUMENOVUM</t>
    <phoneticPr fontId="58" type="noConversion"/>
  </si>
  <si>
    <t>ZIPPO等</t>
    <phoneticPr fontId="58" type="noConversion"/>
  </si>
  <si>
    <t>LOGIN</t>
    <phoneticPr fontId="58" type="noConversion"/>
  </si>
  <si>
    <t>TOTORO</t>
    <phoneticPr fontId="58" type="noConversion"/>
  </si>
  <si>
    <t>VM特卖</t>
    <phoneticPr fontId="58" type="noConversion"/>
  </si>
  <si>
    <t>BODY POPS特卖</t>
    <phoneticPr fontId="58" type="noConversion"/>
  </si>
  <si>
    <t>LE SAUNDA特卖</t>
    <phoneticPr fontId="58" type="noConversion"/>
  </si>
  <si>
    <t>NEW BALANCE特卖</t>
    <phoneticPr fontId="58" type="noConversion"/>
  </si>
  <si>
    <t>TW、ROEM特卖</t>
    <phoneticPr fontId="58" type="noConversion"/>
  </si>
  <si>
    <t>IMI S特卖</t>
    <phoneticPr fontId="58" type="noConversion"/>
  </si>
  <si>
    <t>GYMBOREE</t>
    <phoneticPr fontId="58" type="noConversion"/>
  </si>
  <si>
    <t>PAUL FRANK特卖</t>
    <phoneticPr fontId="58" type="noConversion"/>
  </si>
  <si>
    <t>MOTHERCARE</t>
    <phoneticPr fontId="58" type="noConversion"/>
  </si>
  <si>
    <t>LOLLIPOP等</t>
    <phoneticPr fontId="58" type="noConversion"/>
  </si>
  <si>
    <t>TEENIE WEENIE KIDS</t>
    <phoneticPr fontId="58" type="noConversion"/>
  </si>
  <si>
    <t>PAUL FRANK KIDS</t>
    <phoneticPr fontId="58" type="noConversion"/>
  </si>
  <si>
    <t>BABYLAND</t>
    <phoneticPr fontId="58" type="noConversion"/>
  </si>
  <si>
    <t>ROOKIE</t>
    <phoneticPr fontId="58" type="noConversion"/>
  </si>
  <si>
    <t>LIJIA BABY</t>
    <phoneticPr fontId="58" type="noConversion"/>
  </si>
  <si>
    <t>HANSA</t>
    <phoneticPr fontId="58" type="noConversion"/>
  </si>
  <si>
    <t>雅咪贝贝</t>
    <phoneticPr fontId="58" type="noConversion"/>
  </si>
  <si>
    <t>LEGO</t>
    <phoneticPr fontId="58" type="noConversion"/>
  </si>
  <si>
    <t>PAW IN PAW</t>
    <phoneticPr fontId="58" type="noConversion"/>
  </si>
  <si>
    <t>GUESS KIDS</t>
    <phoneticPr fontId="58" type="noConversion"/>
  </si>
  <si>
    <t>ADIDAS KIDS</t>
    <phoneticPr fontId="58" type="noConversion"/>
  </si>
  <si>
    <t>NIKE KIDS</t>
    <phoneticPr fontId="58" type="noConversion"/>
  </si>
  <si>
    <t>陶然瓷坊</t>
    <phoneticPr fontId="58" type="noConversion"/>
  </si>
  <si>
    <t>RAG-MART</t>
    <phoneticPr fontId="58" type="noConversion"/>
  </si>
  <si>
    <t>DPAM</t>
    <phoneticPr fontId="58" type="noConversion"/>
  </si>
  <si>
    <t>Stride rite</t>
    <phoneticPr fontId="58" type="noConversion"/>
  </si>
  <si>
    <t>WHEAT</t>
    <phoneticPr fontId="58" type="noConversion"/>
  </si>
  <si>
    <t>GXG KIDS</t>
    <phoneticPr fontId="58" type="noConversion"/>
  </si>
  <si>
    <t>JNBY BY JNBY</t>
    <phoneticPr fontId="58" type="noConversion"/>
  </si>
  <si>
    <t>ELAND KIDS</t>
    <phoneticPr fontId="58" type="noConversion"/>
  </si>
  <si>
    <t>CROCS</t>
    <phoneticPr fontId="58" type="noConversion"/>
  </si>
  <si>
    <t>lavie home</t>
    <phoneticPr fontId="58" type="noConversion"/>
  </si>
  <si>
    <t>全爱工匠</t>
    <phoneticPr fontId="58" type="noConversion"/>
  </si>
  <si>
    <t>尚品宅配</t>
    <phoneticPr fontId="58" type="noConversion"/>
  </si>
  <si>
    <t>CUTIE NAIL 悦 指间</t>
    <phoneticPr fontId="58" type="noConversion"/>
  </si>
  <si>
    <t>awfully chocolate</t>
    <phoneticPr fontId="58" type="noConversion"/>
  </si>
  <si>
    <t>CARRERA</t>
    <phoneticPr fontId="58" type="noConversion"/>
  </si>
  <si>
    <t>兔子不在家</t>
    <phoneticPr fontId="58" type="noConversion"/>
  </si>
  <si>
    <t>木玩世家等</t>
    <phoneticPr fontId="58" type="noConversion"/>
  </si>
  <si>
    <t>DODO KIDS</t>
    <phoneticPr fontId="58" type="noConversion"/>
  </si>
  <si>
    <t>八八空间</t>
    <phoneticPr fontId="58" type="noConversion"/>
  </si>
  <si>
    <t>柏斯琴行</t>
    <phoneticPr fontId="58" type="noConversion"/>
  </si>
  <si>
    <t>MAMALOOK</t>
    <phoneticPr fontId="58" type="noConversion"/>
  </si>
  <si>
    <t>爱乐教育</t>
    <phoneticPr fontId="58" type="noConversion"/>
  </si>
  <si>
    <t>哈根达斯</t>
    <phoneticPr fontId="58" type="noConversion"/>
  </si>
  <si>
    <t>巴黎贝甜</t>
    <phoneticPr fontId="58" type="noConversion"/>
  </si>
  <si>
    <t>CAFFEBENE</t>
    <phoneticPr fontId="58" type="noConversion"/>
  </si>
  <si>
    <t>COSTA COFFEE</t>
    <phoneticPr fontId="58" type="noConversion"/>
  </si>
  <si>
    <t>PIZZA HUT</t>
    <phoneticPr fontId="58" type="noConversion"/>
  </si>
  <si>
    <t>红卡咖啡</t>
    <phoneticPr fontId="58" type="noConversion"/>
  </si>
  <si>
    <t>PRETTY VALLEY</t>
    <phoneticPr fontId="58" type="noConversion"/>
  </si>
  <si>
    <t>彩秀 ESSENSUALS</t>
    <phoneticPr fontId="58" type="noConversion"/>
  </si>
  <si>
    <t>CANDY LAB 糖果研究室</t>
    <phoneticPr fontId="58" type="noConversion"/>
  </si>
  <si>
    <t>甲 33</t>
    <phoneticPr fontId="58" type="noConversion"/>
  </si>
  <si>
    <t>同或绘馆</t>
    <phoneticPr fontId="58" type="noConversion"/>
  </si>
  <si>
    <t>青瓷故事馆</t>
    <phoneticPr fontId="58" type="noConversion"/>
  </si>
  <si>
    <t>DISC</t>
    <phoneticPr fontId="58" type="noConversion"/>
  </si>
  <si>
    <t>MS BONBON</t>
    <phoneticPr fontId="58" type="noConversion"/>
  </si>
  <si>
    <t>曼思欢乐厨房</t>
    <phoneticPr fontId="58" type="noConversion"/>
  </si>
  <si>
    <t>TIAGO</t>
    <phoneticPr fontId="58" type="noConversion"/>
  </si>
  <si>
    <t>DELIZIEFOLLIE</t>
    <phoneticPr fontId="58" type="noConversion"/>
  </si>
  <si>
    <t>三元梅园</t>
    <phoneticPr fontId="58" type="noConversion"/>
  </si>
  <si>
    <t>STICKHOUSE</t>
    <phoneticPr fontId="58" type="noConversion"/>
  </si>
  <si>
    <t>西堤牛排</t>
    <phoneticPr fontId="58" type="noConversion"/>
  </si>
  <si>
    <t>MR.PIZZA</t>
    <phoneticPr fontId="58" type="noConversion"/>
  </si>
  <si>
    <t>满记甜品</t>
    <phoneticPr fontId="58" type="noConversion"/>
  </si>
  <si>
    <t>泰和草本</t>
    <phoneticPr fontId="58" type="noConversion"/>
  </si>
  <si>
    <t>潮粤小馆</t>
    <phoneticPr fontId="58" type="noConversion"/>
  </si>
  <si>
    <t>一麻一辣</t>
    <phoneticPr fontId="58" type="noConversion"/>
  </si>
  <si>
    <t>小面驾到</t>
    <phoneticPr fontId="58" type="noConversion"/>
  </si>
  <si>
    <t>博多一幸舍</t>
    <phoneticPr fontId="58" type="noConversion"/>
  </si>
  <si>
    <t>一品小笼</t>
    <phoneticPr fontId="58" type="noConversion"/>
  </si>
  <si>
    <t>很高兴遇见你</t>
    <phoneticPr fontId="58" type="noConversion"/>
  </si>
  <si>
    <t>鹿港小镇</t>
    <phoneticPr fontId="58" type="noConversion"/>
  </si>
  <si>
    <t>艾特尔诺</t>
    <phoneticPr fontId="58" type="noConversion"/>
  </si>
  <si>
    <t>MR J 周大侠</t>
    <phoneticPr fontId="58" type="noConversion"/>
  </si>
  <si>
    <t>神户六甲道</t>
    <phoneticPr fontId="58" type="noConversion"/>
  </si>
  <si>
    <t>57度湘</t>
    <phoneticPr fontId="58" type="noConversion"/>
  </si>
  <si>
    <t>MIU 秘团</t>
    <phoneticPr fontId="58" type="noConversion"/>
  </si>
  <si>
    <t>THE RUG CHAT ROOM</t>
    <phoneticPr fontId="58" type="noConversion"/>
  </si>
  <si>
    <t>马迭尔冰棍</t>
    <phoneticPr fontId="58" type="noConversion"/>
  </si>
  <si>
    <t>漫果工坊</t>
    <phoneticPr fontId="58" type="noConversion"/>
  </si>
  <si>
    <t>CAKE BOSS</t>
    <phoneticPr fontId="58" type="noConversion"/>
  </si>
  <si>
    <t>串亭烧烤居酒屋</t>
    <phoneticPr fontId="58" type="noConversion"/>
  </si>
  <si>
    <t>雕爷牛腩</t>
    <phoneticPr fontId="58" type="noConversion"/>
  </si>
  <si>
    <t>心泰心厨</t>
    <phoneticPr fontId="58" type="noConversion"/>
  </si>
  <si>
    <t>将太无二</t>
    <phoneticPr fontId="58" type="noConversion"/>
  </si>
  <si>
    <t>饺来饺去</t>
    <phoneticPr fontId="58" type="noConversion"/>
  </si>
  <si>
    <t>HI 辣</t>
    <phoneticPr fontId="58" type="noConversion"/>
  </si>
  <si>
    <t>吉野家+DQ</t>
    <phoneticPr fontId="58" type="noConversion"/>
  </si>
  <si>
    <t>文宇奶酪</t>
    <phoneticPr fontId="58" type="noConversion"/>
  </si>
  <si>
    <t>爱乐教育</t>
    <phoneticPr fontId="40" type="noConversion"/>
  </si>
  <si>
    <t>家居生活</t>
    <phoneticPr fontId="40" type="noConversion"/>
  </si>
  <si>
    <t>专项服务</t>
    <phoneticPr fontId="40" type="noConversion"/>
  </si>
  <si>
    <t>服装修改</t>
    <phoneticPr fontId="40" type="noConversion"/>
  </si>
  <si>
    <t>播</t>
    <phoneticPr fontId="40" type="noConversion"/>
  </si>
  <si>
    <t>SANRIO</t>
    <phoneticPr fontId="40" type="noConversion"/>
  </si>
  <si>
    <t>酷乐潮玩</t>
    <phoneticPr fontId="40" type="noConversion"/>
  </si>
  <si>
    <t>美丽田园</t>
    <phoneticPr fontId="40" type="noConversion"/>
  </si>
  <si>
    <t>麦淇舍宾</t>
    <phoneticPr fontId="40" type="noConversion"/>
  </si>
  <si>
    <t>MINISO 名创优品</t>
    <phoneticPr fontId="40" type="noConversion"/>
  </si>
  <si>
    <t>MOTHERCARE</t>
    <phoneticPr fontId="40" type="noConversion"/>
  </si>
  <si>
    <t>CUTIE NAIL 悦 指间</t>
    <phoneticPr fontId="40" type="noConversion"/>
  </si>
  <si>
    <t>青瓷故事馆</t>
    <phoneticPr fontId="40" type="noConversion"/>
  </si>
  <si>
    <t>CARRERA</t>
    <phoneticPr fontId="40" type="noConversion"/>
  </si>
  <si>
    <t>INMOTION 乐行体感车</t>
    <phoneticPr fontId="40" type="noConversion"/>
  </si>
  <si>
    <t>悦木之源</t>
    <phoneticPr fontId="40" type="noConversion"/>
  </si>
  <si>
    <t>集美红酒</t>
    <phoneticPr fontId="40" type="noConversion"/>
  </si>
  <si>
    <t>冠军冰场</t>
    <phoneticPr fontId="40" type="noConversion"/>
  </si>
  <si>
    <t>乐客VR</t>
    <phoneticPr fontId="40" type="noConversion"/>
  </si>
  <si>
    <t>BONE</t>
    <phoneticPr fontId="40" type="noConversion"/>
  </si>
  <si>
    <t>霍尼韦尔</t>
    <phoneticPr fontId="40" type="noConversion"/>
  </si>
  <si>
    <t>北澳宝蓝</t>
    <phoneticPr fontId="40" type="noConversion"/>
  </si>
  <si>
    <t>DYSON</t>
    <phoneticPr fontId="40" type="noConversion"/>
  </si>
  <si>
    <t>小鬼当佳</t>
    <phoneticPr fontId="40" type="noConversion"/>
  </si>
  <si>
    <t>美车堂B2</t>
    <phoneticPr fontId="40" type="noConversion"/>
  </si>
  <si>
    <t>会员签到积点停车劵大放送；</t>
    <phoneticPr fontId="40" type="noConversion"/>
  </si>
  <si>
    <t>CASIO</t>
    <phoneticPr fontId="58" type="noConversion"/>
  </si>
  <si>
    <t>KASANRIN</t>
    <phoneticPr fontId="58" type="noConversion"/>
  </si>
  <si>
    <t>elecom</t>
    <phoneticPr fontId="58" type="noConversion"/>
  </si>
  <si>
    <t>LACOSTE</t>
    <phoneticPr fontId="58" type="noConversion"/>
  </si>
  <si>
    <t>TIMBERLAND</t>
    <phoneticPr fontId="58" type="noConversion"/>
  </si>
  <si>
    <t>LE WONDER SOCKS</t>
    <phoneticPr fontId="58" type="noConversion"/>
  </si>
  <si>
    <t>ETRE PAR LEE</t>
    <phoneticPr fontId="58" type="noConversion"/>
  </si>
  <si>
    <t>LEVI S特卖</t>
    <phoneticPr fontId="58" type="noConversion"/>
  </si>
  <si>
    <t>JACK&amp;JONES特卖</t>
    <phoneticPr fontId="58" type="noConversion"/>
  </si>
  <si>
    <t>INMOTION 乐行体感车</t>
    <phoneticPr fontId="58" type="noConversion"/>
  </si>
  <si>
    <t>8FZ021</t>
    <phoneticPr fontId="58" type="noConversion"/>
  </si>
  <si>
    <t>蓝天城</t>
    <phoneticPr fontId="40" type="noConversion"/>
  </si>
  <si>
    <t>UGG</t>
    <phoneticPr fontId="40" type="noConversion"/>
  </si>
  <si>
    <t>MUJI</t>
    <phoneticPr fontId="40" type="noConversion"/>
  </si>
  <si>
    <t>MR.DOGGY</t>
    <phoneticPr fontId="40" type="noConversion"/>
  </si>
  <si>
    <t>ZARA HOME</t>
    <phoneticPr fontId="40" type="noConversion"/>
  </si>
  <si>
    <t>FORNET 福奈特</t>
    <phoneticPr fontId="40" type="noConversion"/>
  </si>
  <si>
    <t>HOLA</t>
    <phoneticPr fontId="40" type="noConversion"/>
  </si>
  <si>
    <t>紫齐百合</t>
    <phoneticPr fontId="40" type="noConversion"/>
  </si>
  <si>
    <t>CYO VAPE</t>
    <phoneticPr fontId="40" type="noConversion"/>
  </si>
  <si>
    <t>丽时美发</t>
    <phoneticPr fontId="40" type="noConversion"/>
  </si>
  <si>
    <t>B.DUCK</t>
    <phoneticPr fontId="40" type="noConversion"/>
  </si>
  <si>
    <t>优禾生活</t>
    <phoneticPr fontId="40" type="noConversion"/>
  </si>
  <si>
    <t>NUZZLE</t>
    <phoneticPr fontId="40" type="noConversion"/>
  </si>
  <si>
    <t>XOXO</t>
    <phoneticPr fontId="40" type="noConversion"/>
  </si>
  <si>
    <t>自然之宝</t>
    <phoneticPr fontId="40" type="noConversion"/>
  </si>
  <si>
    <t>elecom</t>
    <phoneticPr fontId="40" type="noConversion"/>
  </si>
  <si>
    <t>MAKOTO 诚</t>
    <phoneticPr fontId="40" type="noConversion"/>
  </si>
  <si>
    <t>HOME TANG 堂悦坊</t>
    <phoneticPr fontId="40" type="noConversion"/>
  </si>
  <si>
    <t>KLYDO</t>
    <phoneticPr fontId="40" type="noConversion"/>
  </si>
  <si>
    <t>安赛朵拉</t>
    <phoneticPr fontId="40" type="noConversion"/>
  </si>
  <si>
    <t>CAMPO MARZIO</t>
    <phoneticPr fontId="40" type="noConversion"/>
  </si>
  <si>
    <t>永旺超市</t>
    <phoneticPr fontId="58" type="noConversion"/>
  </si>
  <si>
    <t>GAP</t>
    <phoneticPr fontId="58" type="noConversion"/>
  </si>
  <si>
    <t>优衣库</t>
    <phoneticPr fontId="58" type="noConversion"/>
  </si>
  <si>
    <t>便宜坊</t>
    <phoneticPr fontId="58" type="noConversion"/>
  </si>
  <si>
    <t>西贝</t>
    <phoneticPr fontId="58" type="noConversion"/>
  </si>
  <si>
    <t>金银岛</t>
    <phoneticPr fontId="58" type="noConversion"/>
  </si>
  <si>
    <t>绿茶</t>
    <phoneticPr fontId="58" type="noConversion"/>
  </si>
  <si>
    <t>金钱豹</t>
    <phoneticPr fontId="58" type="noConversion"/>
  </si>
  <si>
    <t>唐宫</t>
    <phoneticPr fontId="58" type="noConversion"/>
  </si>
  <si>
    <t>蓝天城</t>
    <phoneticPr fontId="58" type="noConversion"/>
  </si>
  <si>
    <t>歌友汇</t>
    <phoneticPr fontId="58" type="noConversion"/>
  </si>
  <si>
    <t>蕾舒翠</t>
    <phoneticPr fontId="58" type="noConversion"/>
  </si>
  <si>
    <t>木九十</t>
    <phoneticPr fontId="58" type="noConversion"/>
  </si>
  <si>
    <t>可多</t>
    <phoneticPr fontId="58" type="noConversion"/>
  </si>
  <si>
    <t>多得路</t>
    <phoneticPr fontId="58" type="noConversion"/>
  </si>
  <si>
    <t>HT</t>
    <phoneticPr fontId="58" type="noConversion"/>
  </si>
  <si>
    <t>阿芙</t>
    <phoneticPr fontId="58" type="noConversion"/>
  </si>
  <si>
    <t>爱一道</t>
    <phoneticPr fontId="58" type="noConversion"/>
  </si>
  <si>
    <t>美珍香</t>
    <phoneticPr fontId="58" type="noConversion"/>
  </si>
  <si>
    <t>同仁堂</t>
    <phoneticPr fontId="58" type="noConversion"/>
  </si>
  <si>
    <t>卡西欧</t>
    <phoneticPr fontId="58" type="noConversion"/>
  </si>
  <si>
    <t>贡茶</t>
    <phoneticPr fontId="58" type="noConversion"/>
  </si>
  <si>
    <t>薯皇</t>
    <phoneticPr fontId="58" type="noConversion"/>
  </si>
  <si>
    <t>林清轩</t>
    <phoneticPr fontId="58" type="noConversion"/>
  </si>
  <si>
    <t>喵不乖</t>
    <phoneticPr fontId="58" type="noConversion"/>
  </si>
  <si>
    <t>雅漾</t>
    <phoneticPr fontId="58" type="noConversion"/>
  </si>
  <si>
    <t>极草</t>
    <phoneticPr fontId="58" type="noConversion"/>
  </si>
  <si>
    <t>雷诺瓦</t>
    <phoneticPr fontId="58" type="noConversion"/>
  </si>
  <si>
    <t>屈臣氏</t>
    <phoneticPr fontId="58" type="noConversion"/>
  </si>
  <si>
    <t>撒露</t>
    <phoneticPr fontId="58" type="noConversion"/>
  </si>
  <si>
    <t>三佰瑞</t>
    <phoneticPr fontId="58" type="noConversion"/>
  </si>
  <si>
    <t>苏松府</t>
    <phoneticPr fontId="58" type="noConversion"/>
  </si>
  <si>
    <t>UGG</t>
    <phoneticPr fontId="58" type="noConversion"/>
  </si>
  <si>
    <t>MAC</t>
    <phoneticPr fontId="58" type="noConversion"/>
  </si>
  <si>
    <t>口留香</t>
    <phoneticPr fontId="58" type="noConversion"/>
  </si>
  <si>
    <t>亮视点</t>
    <phoneticPr fontId="58" type="noConversion"/>
  </si>
  <si>
    <t>7-ELEVEN</t>
    <phoneticPr fontId="58" type="noConversion"/>
  </si>
  <si>
    <t>CK</t>
    <phoneticPr fontId="58" type="noConversion"/>
  </si>
  <si>
    <t>H&amp;M</t>
    <phoneticPr fontId="58" type="noConversion"/>
  </si>
  <si>
    <t>MD</t>
    <phoneticPr fontId="58" type="noConversion"/>
  </si>
  <si>
    <t>柯达</t>
    <phoneticPr fontId="58" type="noConversion"/>
  </si>
  <si>
    <t>SLY</t>
    <phoneticPr fontId="58" type="noConversion"/>
  </si>
  <si>
    <t>VOV</t>
    <phoneticPr fontId="58" type="noConversion"/>
  </si>
  <si>
    <t>D2C</t>
    <phoneticPr fontId="58" type="noConversion"/>
  </si>
  <si>
    <t>MUX</t>
    <phoneticPr fontId="58" type="noConversion"/>
  </si>
  <si>
    <t>MU</t>
    <phoneticPr fontId="58" type="noConversion"/>
  </si>
  <si>
    <t>H S</t>
    <phoneticPr fontId="58" type="noConversion"/>
  </si>
  <si>
    <t>单农</t>
    <phoneticPr fontId="58" type="noConversion"/>
  </si>
  <si>
    <t>海盗船</t>
    <phoneticPr fontId="58" type="noConversion"/>
  </si>
  <si>
    <t>播</t>
    <phoneticPr fontId="58" type="noConversion"/>
  </si>
  <si>
    <t>6IXTY 8IGHT</t>
    <phoneticPr fontId="58" type="noConversion"/>
  </si>
  <si>
    <t>再尚秀</t>
    <phoneticPr fontId="58" type="noConversion"/>
  </si>
  <si>
    <t>柏文熊</t>
    <phoneticPr fontId="58" type="noConversion"/>
  </si>
  <si>
    <t>FIC</t>
    <phoneticPr fontId="58" type="noConversion"/>
  </si>
  <si>
    <t>NOP</t>
    <phoneticPr fontId="58" type="noConversion"/>
  </si>
  <si>
    <t>艾瑞美</t>
    <phoneticPr fontId="58" type="noConversion"/>
  </si>
  <si>
    <t>NGA</t>
    <phoneticPr fontId="58" type="noConversion"/>
  </si>
  <si>
    <t>SYL</t>
    <phoneticPr fontId="58" type="noConversion"/>
  </si>
  <si>
    <t>NBA</t>
    <phoneticPr fontId="58" type="noConversion"/>
  </si>
  <si>
    <t>GNL</t>
    <phoneticPr fontId="58" type="noConversion"/>
  </si>
  <si>
    <t>奈美惠</t>
    <phoneticPr fontId="58" type="noConversion"/>
  </si>
  <si>
    <t>JDV</t>
    <phoneticPr fontId="58" type="noConversion"/>
  </si>
  <si>
    <t>乐町</t>
    <phoneticPr fontId="58" type="noConversion"/>
  </si>
  <si>
    <t>贝黎诗</t>
    <phoneticPr fontId="58" type="noConversion"/>
  </si>
  <si>
    <t>阿童木</t>
    <phoneticPr fontId="58" type="noConversion"/>
  </si>
  <si>
    <t>DC</t>
    <phoneticPr fontId="58" type="noConversion"/>
  </si>
  <si>
    <t>CRZ</t>
    <phoneticPr fontId="58" type="noConversion"/>
  </si>
  <si>
    <t>GXG</t>
    <phoneticPr fontId="58" type="noConversion"/>
  </si>
  <si>
    <t>MLB</t>
    <phoneticPr fontId="58" type="noConversion"/>
  </si>
  <si>
    <t>DDC</t>
    <phoneticPr fontId="58" type="noConversion"/>
  </si>
  <si>
    <t>肚脐眼</t>
    <phoneticPr fontId="58" type="noConversion"/>
  </si>
  <si>
    <t>西瓜头</t>
    <phoneticPr fontId="58" type="noConversion"/>
  </si>
  <si>
    <t>悦童</t>
    <phoneticPr fontId="58" type="noConversion"/>
  </si>
  <si>
    <t>霾星人</t>
    <phoneticPr fontId="58" type="noConversion"/>
  </si>
  <si>
    <t>STARBUCKS</t>
    <phoneticPr fontId="58" type="noConversion"/>
  </si>
  <si>
    <t>乌巢</t>
    <phoneticPr fontId="58" type="noConversion"/>
  </si>
  <si>
    <t>QT</t>
    <phoneticPr fontId="58" type="noConversion"/>
  </si>
  <si>
    <t>DQ</t>
    <phoneticPr fontId="58" type="noConversion"/>
  </si>
  <si>
    <t>巴黎汇</t>
    <phoneticPr fontId="58" type="noConversion"/>
  </si>
  <si>
    <t>单向街</t>
    <phoneticPr fontId="58" type="noConversion"/>
  </si>
  <si>
    <t>星巴克</t>
    <phoneticPr fontId="58" type="noConversion"/>
  </si>
  <si>
    <t>浆宝</t>
    <phoneticPr fontId="58" type="noConversion"/>
  </si>
  <si>
    <t>棉花糖</t>
    <phoneticPr fontId="58" type="noConversion"/>
  </si>
  <si>
    <t>金鼎轩</t>
    <phoneticPr fontId="58" type="noConversion"/>
  </si>
  <si>
    <t>外婆家</t>
    <phoneticPr fontId="58" type="noConversion"/>
  </si>
  <si>
    <t>权金城</t>
    <phoneticPr fontId="58" type="noConversion"/>
  </si>
  <si>
    <t>很有面</t>
    <phoneticPr fontId="58" type="noConversion"/>
  </si>
  <si>
    <t>大渔</t>
    <phoneticPr fontId="58" type="noConversion"/>
  </si>
  <si>
    <t>滇草香</t>
    <phoneticPr fontId="58" type="noConversion"/>
  </si>
  <si>
    <t>争鲜</t>
    <phoneticPr fontId="58" type="noConversion"/>
  </si>
  <si>
    <t>肥猫</t>
    <phoneticPr fontId="58" type="noConversion"/>
  </si>
  <si>
    <t>树心旁</t>
    <phoneticPr fontId="58" type="noConversion"/>
  </si>
  <si>
    <t>薛蟠</t>
    <phoneticPr fontId="58" type="noConversion"/>
  </si>
  <si>
    <t>爵士屋</t>
    <phoneticPr fontId="58" type="noConversion"/>
  </si>
  <si>
    <t>费尼</t>
    <phoneticPr fontId="58" type="noConversion"/>
  </si>
  <si>
    <t>水货</t>
    <phoneticPr fontId="58" type="noConversion"/>
  </si>
  <si>
    <t>赤坂亭</t>
    <phoneticPr fontId="58" type="noConversion"/>
  </si>
  <si>
    <t>拿渡</t>
    <phoneticPr fontId="58" type="noConversion"/>
  </si>
  <si>
    <t>度小月</t>
    <phoneticPr fontId="58" type="noConversion"/>
  </si>
  <si>
    <t>苗乡楼</t>
    <phoneticPr fontId="58" type="noConversion"/>
  </si>
  <si>
    <t>新辣道</t>
    <phoneticPr fontId="58" type="noConversion"/>
  </si>
  <si>
    <t>旺池</t>
    <phoneticPr fontId="58" type="noConversion"/>
  </si>
  <si>
    <t>望湘园</t>
    <phoneticPr fontId="58" type="noConversion"/>
  </si>
  <si>
    <t>品苑</t>
    <phoneticPr fontId="58" type="noConversion"/>
  </si>
  <si>
    <t>海盗猫</t>
    <phoneticPr fontId="58" type="noConversion"/>
  </si>
  <si>
    <t>云海肴</t>
    <phoneticPr fontId="58" type="noConversion"/>
  </si>
  <si>
    <t>鲜芋仙</t>
    <phoneticPr fontId="58" type="noConversion"/>
  </si>
  <si>
    <t>汉堡王</t>
    <phoneticPr fontId="58" type="noConversion"/>
  </si>
  <si>
    <t>权味</t>
    <phoneticPr fontId="58" type="noConversion"/>
  </si>
  <si>
    <t>面香居</t>
    <phoneticPr fontId="58" type="noConversion"/>
  </si>
  <si>
    <t>萨莉亚</t>
    <phoneticPr fontId="58" type="noConversion"/>
  </si>
  <si>
    <t>肯德基</t>
    <phoneticPr fontId="58" type="noConversion"/>
  </si>
  <si>
    <t>醉三分</t>
    <phoneticPr fontId="58" type="noConversion"/>
  </si>
  <si>
    <t>赛百味</t>
    <phoneticPr fontId="58" type="noConversion"/>
  </si>
  <si>
    <t>玩伴</t>
    <phoneticPr fontId="58" type="noConversion"/>
  </si>
  <si>
    <t>56度 CAKE</t>
    <phoneticPr fontId="58" type="noConversion"/>
  </si>
  <si>
    <t>咖喱虎</t>
    <phoneticPr fontId="58" type="noConversion"/>
  </si>
  <si>
    <t>珍仕菓</t>
    <phoneticPr fontId="58" type="noConversion"/>
  </si>
  <si>
    <t>泰焦鸡</t>
    <phoneticPr fontId="58" type="noConversion"/>
  </si>
  <si>
    <t>找茶</t>
    <phoneticPr fontId="58" type="noConversion"/>
  </si>
  <si>
    <t>鲜元素</t>
    <phoneticPr fontId="58" type="noConversion"/>
  </si>
  <si>
    <t>许留山</t>
    <phoneticPr fontId="58" type="noConversion"/>
  </si>
  <si>
    <t>集品堂</t>
    <phoneticPr fontId="58" type="noConversion"/>
  </si>
  <si>
    <t>鲜品萃</t>
    <phoneticPr fontId="58" type="noConversion"/>
  </si>
  <si>
    <t>火炉火</t>
    <phoneticPr fontId="58" type="noConversion"/>
  </si>
  <si>
    <t>疆爱</t>
    <phoneticPr fontId="58" type="noConversion"/>
  </si>
  <si>
    <t>2F6301</t>
    <phoneticPr fontId="58" type="noConversion"/>
  </si>
  <si>
    <t>B1Z011</t>
    <phoneticPr fontId="58" type="noConversion"/>
  </si>
  <si>
    <t>永旺超市</t>
    <phoneticPr fontId="58" type="noConversion"/>
  </si>
  <si>
    <t>1F0902</t>
    <phoneticPr fontId="58" type="noConversion"/>
  </si>
  <si>
    <t>L’OCCITANE</t>
    <phoneticPr fontId="58" type="noConversion"/>
  </si>
  <si>
    <t>B12001</t>
    <phoneticPr fontId="58" type="noConversion"/>
  </si>
  <si>
    <t>面包新语</t>
    <phoneticPr fontId="58" type="noConversion"/>
  </si>
  <si>
    <t>4F1401</t>
    <phoneticPr fontId="58" type="noConversion"/>
  </si>
  <si>
    <t>麦淇舍宾</t>
    <phoneticPr fontId="58" type="noConversion"/>
  </si>
  <si>
    <t>B16202</t>
    <phoneticPr fontId="58" type="noConversion"/>
  </si>
  <si>
    <t>极草</t>
    <phoneticPr fontId="58" type="noConversion"/>
  </si>
  <si>
    <t>歌友汇</t>
    <phoneticPr fontId="40" type="noConversion"/>
  </si>
  <si>
    <t>休闲娱乐</t>
    <phoneticPr fontId="40" type="noConversion"/>
  </si>
  <si>
    <t>MELVITA</t>
    <phoneticPr fontId="40" type="noConversion"/>
  </si>
  <si>
    <t>化妆品</t>
    <phoneticPr fontId="40" type="noConversion"/>
  </si>
  <si>
    <t>STARBUCKS</t>
    <phoneticPr fontId="40" type="noConversion"/>
  </si>
  <si>
    <t>非正餐</t>
    <phoneticPr fontId="40" type="noConversion"/>
  </si>
  <si>
    <t>LONGINES</t>
    <phoneticPr fontId="40" type="noConversion"/>
  </si>
  <si>
    <t>配饰</t>
    <phoneticPr fontId="40" type="noConversion"/>
  </si>
  <si>
    <t>LOVE MOSCHINO</t>
    <phoneticPr fontId="40" type="noConversion"/>
  </si>
  <si>
    <t>服装</t>
    <phoneticPr fontId="40" type="noConversion"/>
  </si>
  <si>
    <t>PANDORA</t>
    <phoneticPr fontId="40" type="noConversion"/>
  </si>
  <si>
    <t>L’OCCITANE</t>
    <phoneticPr fontId="40" type="noConversion"/>
  </si>
  <si>
    <t>ORIGINS</t>
    <phoneticPr fontId="40" type="noConversion"/>
  </si>
  <si>
    <t>哈根达斯</t>
    <phoneticPr fontId="40" type="noConversion"/>
  </si>
  <si>
    <t>GAP</t>
    <phoneticPr fontId="40" type="noConversion"/>
  </si>
  <si>
    <t>服装</t>
    <phoneticPr fontId="40" type="noConversion"/>
  </si>
  <si>
    <t>C1 HUT</t>
    <phoneticPr fontId="40" type="noConversion"/>
  </si>
  <si>
    <t>TISSOT</t>
    <phoneticPr fontId="40" type="noConversion"/>
  </si>
  <si>
    <t>SEPHORA</t>
    <phoneticPr fontId="40" type="noConversion"/>
  </si>
  <si>
    <t>MAC</t>
    <phoneticPr fontId="40" type="noConversion"/>
  </si>
  <si>
    <t>化妆品</t>
    <phoneticPr fontId="40" type="noConversion"/>
  </si>
  <si>
    <t>TOMMY HILFIGER</t>
    <phoneticPr fontId="40" type="noConversion"/>
  </si>
  <si>
    <t>DKNY</t>
    <phoneticPr fontId="40" type="noConversion"/>
  </si>
  <si>
    <t>服装</t>
    <phoneticPr fontId="40" type="noConversion"/>
  </si>
  <si>
    <t>LACOSTE</t>
    <phoneticPr fontId="40" type="noConversion"/>
  </si>
  <si>
    <t>J.LINDEBERG</t>
    <phoneticPr fontId="40" type="noConversion"/>
  </si>
  <si>
    <t>I DO</t>
    <phoneticPr fontId="40" type="noConversion"/>
  </si>
  <si>
    <t>亮视点</t>
    <phoneticPr fontId="40" type="noConversion"/>
  </si>
  <si>
    <t>配饰</t>
    <phoneticPr fontId="40" type="noConversion"/>
  </si>
  <si>
    <t>INNISFREE</t>
    <phoneticPr fontId="40" type="noConversion"/>
  </si>
  <si>
    <t>BROOKS BROTHERS</t>
    <phoneticPr fontId="40" type="noConversion"/>
  </si>
  <si>
    <t>APPLE</t>
    <phoneticPr fontId="40" type="noConversion"/>
  </si>
  <si>
    <t>数码电器</t>
    <phoneticPr fontId="40" type="noConversion"/>
  </si>
  <si>
    <t>ZARA</t>
    <phoneticPr fontId="40" type="noConversion"/>
  </si>
  <si>
    <t>MD</t>
    <phoneticPr fontId="40" type="noConversion"/>
  </si>
  <si>
    <t>口留香</t>
    <phoneticPr fontId="40" type="noConversion"/>
  </si>
  <si>
    <t>非正餐</t>
    <phoneticPr fontId="40" type="noConversion"/>
  </si>
  <si>
    <t>巴黎贝甜</t>
    <phoneticPr fontId="40" type="noConversion"/>
  </si>
  <si>
    <t>7-ELEVEN</t>
    <phoneticPr fontId="40" type="noConversion"/>
  </si>
  <si>
    <t>综合服务</t>
    <phoneticPr fontId="40" type="noConversion"/>
  </si>
  <si>
    <t>FOLLI FOLLIE</t>
    <phoneticPr fontId="40" type="noConversion"/>
  </si>
  <si>
    <t>EVISU</t>
    <phoneticPr fontId="40" type="noConversion"/>
  </si>
  <si>
    <t>FRED PERRY</t>
    <phoneticPr fontId="40" type="noConversion"/>
  </si>
  <si>
    <t>AAPE</t>
    <phoneticPr fontId="40" type="noConversion"/>
  </si>
  <si>
    <t>CHARLES&amp;KEITH</t>
    <phoneticPr fontId="40" type="noConversion"/>
  </si>
  <si>
    <t>皮具</t>
    <phoneticPr fontId="40" type="noConversion"/>
  </si>
  <si>
    <t>CK</t>
    <phoneticPr fontId="40" type="noConversion"/>
  </si>
  <si>
    <t>SWAROVSKI</t>
    <phoneticPr fontId="40" type="noConversion"/>
  </si>
  <si>
    <t>GUCCI</t>
    <phoneticPr fontId="40" type="noConversion"/>
  </si>
  <si>
    <t>APM MONACO</t>
    <phoneticPr fontId="40" type="noConversion"/>
  </si>
  <si>
    <t>JILL STUART</t>
    <phoneticPr fontId="40" type="noConversion"/>
  </si>
  <si>
    <t>Kiehl's</t>
    <phoneticPr fontId="40" type="noConversion"/>
  </si>
  <si>
    <t>H&amp;M</t>
    <phoneticPr fontId="40" type="noConversion"/>
  </si>
  <si>
    <t>SWATCH</t>
    <phoneticPr fontId="40" type="noConversion"/>
  </si>
  <si>
    <t>AGATHA</t>
    <phoneticPr fontId="40" type="noConversion"/>
  </si>
  <si>
    <t>CAFFEBENE</t>
    <phoneticPr fontId="40" type="noConversion"/>
  </si>
  <si>
    <t>柯达</t>
    <phoneticPr fontId="40" type="noConversion"/>
  </si>
  <si>
    <t>专项服务</t>
    <phoneticPr fontId="40" type="noConversion"/>
  </si>
  <si>
    <t>乌巢</t>
    <phoneticPr fontId="40" type="noConversion"/>
  </si>
  <si>
    <t>Hollister</t>
    <phoneticPr fontId="40" type="noConversion"/>
  </si>
  <si>
    <t>SLY</t>
    <phoneticPr fontId="40" type="noConversion"/>
  </si>
  <si>
    <t>VOV</t>
    <phoneticPr fontId="40" type="noConversion"/>
  </si>
  <si>
    <t>COVER GARDEN</t>
    <phoneticPr fontId="40" type="noConversion"/>
  </si>
  <si>
    <t>SIQIN</t>
    <phoneticPr fontId="40" type="noConversion"/>
  </si>
  <si>
    <t>D2C</t>
    <phoneticPr fontId="40" type="noConversion"/>
  </si>
  <si>
    <t>ECCO</t>
    <phoneticPr fontId="40" type="noConversion"/>
  </si>
  <si>
    <t>CLARKS</t>
    <phoneticPr fontId="40" type="noConversion"/>
  </si>
  <si>
    <t>TANNI</t>
    <phoneticPr fontId="40" type="noConversion"/>
  </si>
  <si>
    <t>HARDY HARDY</t>
    <phoneticPr fontId="40" type="noConversion"/>
  </si>
  <si>
    <t>EVISU</t>
    <phoneticPr fontId="40" type="noConversion"/>
  </si>
  <si>
    <t>MOUSSY</t>
    <phoneticPr fontId="40" type="noConversion"/>
  </si>
  <si>
    <t>G-STAR RAW</t>
    <phoneticPr fontId="40" type="noConversion"/>
  </si>
  <si>
    <t>MISS SIXTY</t>
    <phoneticPr fontId="40" type="noConversion"/>
  </si>
  <si>
    <t>IZZUE</t>
    <phoneticPr fontId="40" type="noConversion"/>
  </si>
  <si>
    <t>CHOCOOLATE</t>
    <phoneticPr fontId="40" type="noConversion"/>
  </si>
  <si>
    <t>BAN XIAOXUE</t>
    <phoneticPr fontId="40" type="noConversion"/>
  </si>
  <si>
    <t>III VIVINIKO</t>
    <phoneticPr fontId="40" type="noConversion"/>
  </si>
  <si>
    <t>ZUCZUG</t>
    <phoneticPr fontId="40" type="noConversion"/>
  </si>
  <si>
    <t>ICICLE</t>
    <phoneticPr fontId="40" type="noConversion"/>
  </si>
  <si>
    <t>FIONA CHEN</t>
    <phoneticPr fontId="40" type="noConversion"/>
  </si>
  <si>
    <t>GEROLAMO</t>
    <phoneticPr fontId="40" type="noConversion"/>
  </si>
  <si>
    <t>YINER</t>
    <phoneticPr fontId="40" type="noConversion"/>
  </si>
  <si>
    <t>TRIBECA</t>
    <phoneticPr fontId="40" type="noConversion"/>
  </si>
  <si>
    <t>JESSIE</t>
    <phoneticPr fontId="40" type="noConversion"/>
  </si>
  <si>
    <t>MUX</t>
    <phoneticPr fontId="40" type="noConversion"/>
  </si>
  <si>
    <t>皮具</t>
    <phoneticPr fontId="40" type="noConversion"/>
  </si>
  <si>
    <t>TIMBERLAND</t>
    <phoneticPr fontId="40" type="noConversion"/>
  </si>
  <si>
    <t>LE SAUNDA</t>
    <phoneticPr fontId="40" type="noConversion"/>
  </si>
  <si>
    <t>VERO MODA</t>
    <phoneticPr fontId="40" type="noConversion"/>
  </si>
  <si>
    <t>JACK&amp;JONES</t>
    <phoneticPr fontId="40" type="noConversion"/>
  </si>
  <si>
    <t>BOSA</t>
    <phoneticPr fontId="40" type="noConversion"/>
  </si>
  <si>
    <t>CALVIN KLEIN UNDERWEAR</t>
    <phoneticPr fontId="40" type="noConversion"/>
  </si>
  <si>
    <t>CALVIN KLEIN JEANS</t>
    <phoneticPr fontId="40" type="noConversion"/>
  </si>
  <si>
    <t>COSTA COFFEE</t>
    <phoneticPr fontId="40" type="noConversion"/>
  </si>
  <si>
    <t>EITIE</t>
    <phoneticPr fontId="40" type="noConversion"/>
  </si>
  <si>
    <t>ZUKKA PRO</t>
    <phoneticPr fontId="40" type="noConversion"/>
  </si>
  <si>
    <t>DISSONA</t>
    <phoneticPr fontId="40" type="noConversion"/>
  </si>
  <si>
    <t>CHRISS DELLA MODA</t>
    <phoneticPr fontId="40" type="noConversion"/>
  </si>
  <si>
    <t>LESS</t>
    <phoneticPr fontId="40" type="noConversion"/>
  </si>
  <si>
    <t>LAVINIA</t>
    <phoneticPr fontId="40" type="noConversion"/>
  </si>
  <si>
    <t>NEON</t>
    <phoneticPr fontId="40" type="noConversion"/>
  </si>
  <si>
    <t>ANNE KAREN</t>
    <phoneticPr fontId="40" type="noConversion"/>
  </si>
  <si>
    <t>WHAT FOR</t>
    <phoneticPr fontId="40" type="noConversion"/>
  </si>
  <si>
    <t>ASH UNITED NUDE</t>
    <phoneticPr fontId="40" type="noConversion"/>
  </si>
  <si>
    <t>MILLES/ELLE/BCBG</t>
    <phoneticPr fontId="40" type="noConversion"/>
  </si>
  <si>
    <t>YXZD</t>
    <phoneticPr fontId="40" type="noConversion"/>
  </si>
  <si>
    <t>KAVON</t>
    <phoneticPr fontId="40" type="noConversion"/>
  </si>
  <si>
    <t>KORADIOR</t>
    <phoneticPr fontId="40" type="noConversion"/>
  </si>
  <si>
    <t>SNIDEL、LILY BROWN</t>
    <phoneticPr fontId="40" type="noConversion"/>
  </si>
  <si>
    <t>MASFER SU</t>
    <phoneticPr fontId="40" type="noConversion"/>
  </si>
  <si>
    <t>STACCATO</t>
    <phoneticPr fontId="40" type="noConversion"/>
  </si>
  <si>
    <t>BEVIVO</t>
    <phoneticPr fontId="40" type="noConversion"/>
  </si>
  <si>
    <t>monki</t>
    <phoneticPr fontId="40" type="noConversion"/>
  </si>
  <si>
    <t>new look</t>
    <phoneticPr fontId="40" type="noConversion"/>
  </si>
  <si>
    <t>RIME</t>
    <phoneticPr fontId="40" type="noConversion"/>
  </si>
  <si>
    <t>TATA</t>
    <phoneticPr fontId="40" type="noConversion"/>
  </si>
  <si>
    <t>CHIHIRO BY S.K.</t>
    <phoneticPr fontId="40" type="noConversion"/>
  </si>
  <si>
    <t>QT</t>
    <phoneticPr fontId="40" type="noConversion"/>
  </si>
  <si>
    <t>WALKER ONE</t>
    <phoneticPr fontId="40" type="noConversion"/>
  </si>
  <si>
    <t>CAVIENO</t>
    <phoneticPr fontId="40" type="noConversion"/>
  </si>
  <si>
    <t>BATA</t>
    <phoneticPr fontId="40" type="noConversion"/>
  </si>
  <si>
    <t>TEENMIX</t>
    <phoneticPr fontId="40" type="noConversion"/>
  </si>
  <si>
    <t>AVVN</t>
    <phoneticPr fontId="40" type="noConversion"/>
  </si>
  <si>
    <t>LEVI'S</t>
    <phoneticPr fontId="40" type="noConversion"/>
  </si>
  <si>
    <t>BANILA CO</t>
    <phoneticPr fontId="40" type="noConversion"/>
  </si>
  <si>
    <t>江南布衣</t>
    <phoneticPr fontId="40" type="noConversion"/>
  </si>
  <si>
    <t>MO&amp;CO</t>
    <phoneticPr fontId="40" type="noConversion"/>
  </si>
  <si>
    <t>SELECTED</t>
    <phoneticPr fontId="40" type="noConversion"/>
  </si>
  <si>
    <t>ROSEMUNDE</t>
    <phoneticPr fontId="40" type="noConversion"/>
  </si>
  <si>
    <t>DAZZLE</t>
    <phoneticPr fontId="40" type="noConversion"/>
  </si>
  <si>
    <t>Ochirly</t>
    <phoneticPr fontId="40" type="noConversion"/>
  </si>
  <si>
    <t>ONLY</t>
    <phoneticPr fontId="40" type="noConversion"/>
  </si>
  <si>
    <t>ZCZZ</t>
    <phoneticPr fontId="40" type="noConversion"/>
  </si>
  <si>
    <t>COSA</t>
    <phoneticPr fontId="40" type="noConversion"/>
  </si>
  <si>
    <t>MU</t>
    <phoneticPr fontId="40" type="noConversion"/>
  </si>
  <si>
    <t>FIVE PLUS</t>
    <phoneticPr fontId="40" type="noConversion"/>
  </si>
  <si>
    <t>TEENIE WEENIE</t>
    <phoneticPr fontId="40" type="noConversion"/>
  </si>
  <si>
    <t>BASIC HOUSE</t>
    <phoneticPr fontId="40" type="noConversion"/>
  </si>
  <si>
    <t>L'ARMADIO</t>
    <phoneticPr fontId="40" type="noConversion"/>
  </si>
  <si>
    <t>FOREVER NEW</t>
    <phoneticPr fontId="40" type="noConversion"/>
  </si>
  <si>
    <t>CK PERFORMANCE</t>
    <phoneticPr fontId="40" type="noConversion"/>
  </si>
  <si>
    <t>PRICH</t>
    <phoneticPr fontId="40" type="noConversion"/>
  </si>
  <si>
    <t>EARTH MUSIC</t>
    <phoneticPr fontId="40" type="noConversion"/>
  </si>
  <si>
    <t>TRENDIANO</t>
    <phoneticPr fontId="40" type="noConversion"/>
  </si>
  <si>
    <t>SEASON WIND</t>
    <phoneticPr fontId="40" type="noConversion"/>
  </si>
  <si>
    <t>D ZZIT</t>
    <phoneticPr fontId="40" type="noConversion"/>
  </si>
  <si>
    <t>单农</t>
    <phoneticPr fontId="40" type="noConversion"/>
  </si>
  <si>
    <t>HUSH PUPPIES</t>
    <phoneticPr fontId="40" type="noConversion"/>
  </si>
  <si>
    <t>SAMANSA MOS2</t>
    <phoneticPr fontId="40" type="noConversion"/>
  </si>
  <si>
    <t>WAKE UP</t>
    <phoneticPr fontId="40" type="noConversion"/>
  </si>
  <si>
    <t>MJUKA</t>
    <phoneticPr fontId="40" type="noConversion"/>
  </si>
  <si>
    <t>海盗船</t>
    <phoneticPr fontId="40" type="noConversion"/>
  </si>
  <si>
    <t>PIZZA HUT</t>
    <phoneticPr fontId="40" type="noConversion"/>
  </si>
  <si>
    <t>BOUTHENTIQUE</t>
    <phoneticPr fontId="40" type="noConversion"/>
  </si>
  <si>
    <t>数码维修</t>
    <phoneticPr fontId="40" type="noConversion"/>
  </si>
  <si>
    <t>H S</t>
    <phoneticPr fontId="40" type="noConversion"/>
  </si>
  <si>
    <t>ADIDAS ORIGINALS</t>
    <phoneticPr fontId="40" type="noConversion"/>
  </si>
  <si>
    <t>服装</t>
    <phoneticPr fontId="40" type="noConversion"/>
  </si>
  <si>
    <t>BODY ING</t>
    <phoneticPr fontId="40" type="noConversion"/>
  </si>
  <si>
    <t>LOWRYS FARM等</t>
    <phoneticPr fontId="40" type="noConversion"/>
  </si>
  <si>
    <t>ONE MORE</t>
    <phoneticPr fontId="40" type="noConversion"/>
  </si>
  <si>
    <t>6IXTY 8IGHT</t>
    <phoneticPr fontId="40" type="noConversion"/>
  </si>
  <si>
    <t>服装</t>
    <phoneticPr fontId="40" type="noConversion"/>
  </si>
  <si>
    <t>优衣库</t>
    <phoneticPr fontId="40" type="noConversion"/>
  </si>
  <si>
    <t>PEACH JOHN</t>
    <phoneticPr fontId="40" type="noConversion"/>
  </si>
  <si>
    <t>MIND BRIDGE</t>
    <phoneticPr fontId="40" type="noConversion"/>
  </si>
  <si>
    <t>MIKIBANA</t>
    <phoneticPr fontId="40" type="noConversion"/>
  </si>
  <si>
    <t>MARIE N‘ MARY</t>
    <phoneticPr fontId="40" type="noConversion"/>
  </si>
  <si>
    <t>ODBO</t>
    <phoneticPr fontId="40" type="noConversion"/>
  </si>
  <si>
    <t>DR.MARTIN</t>
    <phoneticPr fontId="40" type="noConversion"/>
  </si>
  <si>
    <t>IPKN</t>
    <phoneticPr fontId="40" type="noConversion"/>
  </si>
  <si>
    <t>再尚秀</t>
    <phoneticPr fontId="40" type="noConversion"/>
  </si>
  <si>
    <t>RUBY ANG</t>
    <phoneticPr fontId="40" type="noConversion"/>
  </si>
  <si>
    <t>红卡咖啡</t>
    <phoneticPr fontId="40" type="noConversion"/>
  </si>
  <si>
    <t>柏文熊</t>
    <phoneticPr fontId="40" type="noConversion"/>
  </si>
  <si>
    <t>家居生活</t>
    <phoneticPr fontId="40" type="noConversion"/>
  </si>
  <si>
    <t>ELLIALOVERRO</t>
    <phoneticPr fontId="40" type="noConversion"/>
  </si>
  <si>
    <t>FIC</t>
    <phoneticPr fontId="40" type="noConversion"/>
  </si>
  <si>
    <t>NOP</t>
    <phoneticPr fontId="40" type="noConversion"/>
  </si>
  <si>
    <t>艾瑞美</t>
    <phoneticPr fontId="40" type="noConversion"/>
  </si>
  <si>
    <t>缤纷色彩</t>
    <phoneticPr fontId="40" type="noConversion"/>
  </si>
  <si>
    <t>MRKT</t>
    <phoneticPr fontId="40" type="noConversion"/>
  </si>
  <si>
    <t>FRANGI</t>
    <phoneticPr fontId="40" type="noConversion"/>
  </si>
  <si>
    <t>LE WONDER SOCKS</t>
    <phoneticPr fontId="40" type="noConversion"/>
  </si>
  <si>
    <t>GUESS</t>
    <phoneticPr fontId="40" type="noConversion"/>
  </si>
  <si>
    <t>Teenie Weenie Café</t>
    <phoneticPr fontId="40" type="noConversion"/>
  </si>
  <si>
    <t>NGA</t>
    <phoneticPr fontId="40" type="noConversion"/>
  </si>
  <si>
    <t>I GOLD</t>
    <phoneticPr fontId="40" type="noConversion"/>
  </si>
  <si>
    <t>SYL</t>
    <phoneticPr fontId="40" type="noConversion"/>
  </si>
  <si>
    <t>ETRE PAR LEE</t>
    <phoneticPr fontId="40" type="noConversion"/>
  </si>
  <si>
    <t>CONVERSE</t>
    <phoneticPr fontId="40" type="noConversion"/>
  </si>
  <si>
    <t>NBA</t>
    <phoneticPr fontId="40" type="noConversion"/>
  </si>
  <si>
    <t>LALABOBO</t>
    <phoneticPr fontId="40" type="noConversion"/>
  </si>
  <si>
    <t>WESTLINK</t>
    <phoneticPr fontId="40" type="noConversion"/>
  </si>
  <si>
    <t>GNL</t>
    <phoneticPr fontId="40" type="noConversion"/>
  </si>
  <si>
    <t>奈美惠</t>
    <phoneticPr fontId="40" type="noConversion"/>
  </si>
  <si>
    <t>JDV</t>
    <phoneticPr fontId="40" type="noConversion"/>
  </si>
  <si>
    <t>LILY</t>
    <phoneticPr fontId="40" type="noConversion"/>
  </si>
  <si>
    <t>AOJO</t>
    <phoneticPr fontId="40" type="noConversion"/>
  </si>
  <si>
    <t>阪织屋 BANDGEWOO</t>
    <phoneticPr fontId="40" type="noConversion"/>
  </si>
  <si>
    <t>KIPLING</t>
    <phoneticPr fontId="40" type="noConversion"/>
  </si>
  <si>
    <t>乐町</t>
    <phoneticPr fontId="40" type="noConversion"/>
  </si>
  <si>
    <t>贝黎诗</t>
    <phoneticPr fontId="40" type="noConversion"/>
  </si>
  <si>
    <t>BOY LONDON</t>
    <phoneticPr fontId="40" type="noConversion"/>
  </si>
  <si>
    <t>TEN MIRO</t>
    <phoneticPr fontId="40" type="noConversion"/>
  </si>
  <si>
    <t>NASNA</t>
    <phoneticPr fontId="40" type="noConversion"/>
  </si>
  <si>
    <t>JUCY JUDY</t>
    <phoneticPr fontId="40" type="noConversion"/>
  </si>
  <si>
    <t>HOTWIND</t>
    <phoneticPr fontId="40" type="noConversion"/>
  </si>
  <si>
    <t>HI PANDA</t>
    <phoneticPr fontId="40" type="noConversion"/>
  </si>
  <si>
    <t>阿童木</t>
    <phoneticPr fontId="40" type="noConversion"/>
  </si>
  <si>
    <t>DC</t>
    <phoneticPr fontId="40" type="noConversion"/>
  </si>
  <si>
    <t>肚脐眼NAVEL</t>
    <phoneticPr fontId="40" type="noConversion"/>
  </si>
  <si>
    <t>TOMS</t>
    <phoneticPr fontId="40" type="noConversion"/>
  </si>
  <si>
    <t>ROCOCO</t>
    <phoneticPr fontId="40" type="noConversion"/>
  </si>
  <si>
    <t>REEMOOR</t>
    <phoneticPr fontId="40" type="noConversion"/>
  </si>
  <si>
    <t>EVES TEMPTATION</t>
    <phoneticPr fontId="40" type="noConversion"/>
  </si>
  <si>
    <t>COLUMBIA等</t>
    <phoneticPr fontId="40" type="noConversion"/>
  </si>
  <si>
    <t>MEET MIMIQ</t>
    <phoneticPr fontId="40" type="noConversion"/>
  </si>
  <si>
    <t>AJIDOU</t>
    <phoneticPr fontId="40" type="noConversion"/>
  </si>
  <si>
    <t>PAUL FRANK</t>
    <phoneticPr fontId="40" type="noConversion"/>
  </si>
  <si>
    <t>MS FLORA</t>
    <phoneticPr fontId="40" type="noConversion"/>
  </si>
  <si>
    <t>FOSS PLUS</t>
    <phoneticPr fontId="40" type="noConversion"/>
  </si>
  <si>
    <t>EBLIN</t>
    <phoneticPr fontId="40" type="noConversion"/>
  </si>
  <si>
    <t>BODY POPS</t>
    <phoneticPr fontId="40" type="noConversion"/>
  </si>
  <si>
    <t>爱美丽/IMI'S</t>
    <phoneticPr fontId="40" type="noConversion"/>
  </si>
  <si>
    <t>CRZ</t>
    <phoneticPr fontId="40" type="noConversion"/>
  </si>
  <si>
    <t>PANCOAT</t>
    <phoneticPr fontId="40" type="noConversion"/>
  </si>
  <si>
    <t>E-LAND</t>
    <phoneticPr fontId="40" type="noConversion"/>
  </si>
  <si>
    <t>THE SHOES BAR</t>
    <phoneticPr fontId="40" type="noConversion"/>
  </si>
  <si>
    <t>GXG</t>
    <phoneticPr fontId="40" type="noConversion"/>
  </si>
  <si>
    <t>速写CROQUIS</t>
    <phoneticPr fontId="40" type="noConversion"/>
  </si>
  <si>
    <t>MOMO</t>
    <phoneticPr fontId="40" type="noConversion"/>
  </si>
  <si>
    <t>NIKE 360</t>
    <phoneticPr fontId="40" type="noConversion"/>
  </si>
  <si>
    <t>MLB</t>
    <phoneticPr fontId="40" type="noConversion"/>
  </si>
  <si>
    <t>NIKE</t>
    <phoneticPr fontId="40" type="noConversion"/>
  </si>
  <si>
    <t>NEW BALANCE</t>
    <phoneticPr fontId="40" type="noConversion"/>
  </si>
  <si>
    <t>HI 百货水吧</t>
    <phoneticPr fontId="40" type="noConversion"/>
  </si>
  <si>
    <t>FJALLRAVEN</t>
    <phoneticPr fontId="40" type="noConversion"/>
  </si>
  <si>
    <t>ADIDAS</t>
    <phoneticPr fontId="40" type="noConversion"/>
  </si>
  <si>
    <t>UNDER ARMOUR</t>
    <phoneticPr fontId="40" type="noConversion"/>
  </si>
  <si>
    <t>VANS</t>
    <phoneticPr fontId="40" type="noConversion"/>
  </si>
  <si>
    <t>SKECHERS</t>
    <phoneticPr fontId="40" type="noConversion"/>
  </si>
  <si>
    <t>HULAHULA、SHEARERSUGG</t>
    <phoneticPr fontId="40" type="noConversion"/>
  </si>
  <si>
    <t>BLUMENOVUM</t>
    <phoneticPr fontId="40" type="noConversion"/>
  </si>
  <si>
    <t>阿飞正传</t>
    <phoneticPr fontId="40" type="noConversion"/>
  </si>
  <si>
    <t>木九十</t>
    <phoneticPr fontId="40" type="noConversion"/>
  </si>
  <si>
    <t>MATERIAL GIRL</t>
    <phoneticPr fontId="40" type="noConversion"/>
  </si>
  <si>
    <t>DDC</t>
    <phoneticPr fontId="40" type="noConversion"/>
  </si>
  <si>
    <t>LOGIN</t>
    <phoneticPr fontId="40" type="noConversion"/>
  </si>
  <si>
    <t>肚脐眼</t>
    <phoneticPr fontId="40" type="noConversion"/>
  </si>
  <si>
    <t>LEVI S特卖</t>
    <phoneticPr fontId="40" type="noConversion"/>
  </si>
  <si>
    <t>VM特卖</t>
    <phoneticPr fontId="40" type="noConversion"/>
  </si>
  <si>
    <t>LE SAUNDA特卖</t>
    <phoneticPr fontId="40" type="noConversion"/>
  </si>
  <si>
    <t>BODY POPS特卖</t>
    <phoneticPr fontId="40" type="noConversion"/>
  </si>
  <si>
    <t>NEW BALANCE特卖</t>
    <phoneticPr fontId="40" type="noConversion"/>
  </si>
  <si>
    <t>JACK&amp;JONES特卖</t>
    <phoneticPr fontId="40" type="noConversion"/>
  </si>
  <si>
    <t>TW、ROEM特卖</t>
    <phoneticPr fontId="40" type="noConversion"/>
  </si>
  <si>
    <t>IMI S特卖</t>
    <phoneticPr fontId="40" type="noConversion"/>
  </si>
  <si>
    <t>GYMBOREE</t>
    <phoneticPr fontId="40" type="noConversion"/>
  </si>
  <si>
    <t>PAUL FRANK特卖</t>
    <phoneticPr fontId="40" type="noConversion"/>
  </si>
  <si>
    <t>朝阳科技广场</t>
    <phoneticPr fontId="40" type="noConversion"/>
  </si>
  <si>
    <t>LOLLIPOP等</t>
    <phoneticPr fontId="40" type="noConversion"/>
  </si>
  <si>
    <t>TEENIE WEENIE KIDS</t>
    <phoneticPr fontId="40" type="noConversion"/>
  </si>
  <si>
    <t>PAUL FRANK KIDS</t>
    <phoneticPr fontId="40" type="noConversion"/>
  </si>
  <si>
    <t>TOYS R US</t>
    <phoneticPr fontId="40" type="noConversion"/>
  </si>
  <si>
    <t>WHEAT</t>
    <phoneticPr fontId="40" type="noConversion"/>
  </si>
  <si>
    <t>西瓜头</t>
    <phoneticPr fontId="40" type="noConversion"/>
  </si>
  <si>
    <t>文教娱乐</t>
    <phoneticPr fontId="40" type="noConversion"/>
  </si>
  <si>
    <t>PAW IN PAW</t>
    <phoneticPr fontId="40" type="noConversion"/>
  </si>
  <si>
    <t>GUESS KIDS</t>
    <phoneticPr fontId="40" type="noConversion"/>
  </si>
  <si>
    <t>GXG KIDS</t>
    <phoneticPr fontId="40" type="noConversion"/>
  </si>
  <si>
    <t>JNBY BY JNBY</t>
    <phoneticPr fontId="40" type="noConversion"/>
  </si>
  <si>
    <t>ELAND KIDS</t>
    <phoneticPr fontId="40" type="noConversion"/>
  </si>
  <si>
    <t>CROCS</t>
    <phoneticPr fontId="40" type="noConversion"/>
  </si>
  <si>
    <t>DQ</t>
    <phoneticPr fontId="40" type="noConversion"/>
  </si>
  <si>
    <t>PRETTY VALLEY</t>
    <phoneticPr fontId="40" type="noConversion"/>
  </si>
  <si>
    <t>lavie home</t>
    <phoneticPr fontId="40" type="noConversion"/>
  </si>
  <si>
    <t>全爱工匠</t>
    <phoneticPr fontId="40" type="noConversion"/>
  </si>
  <si>
    <t>CANDY LAB 糖果研究室</t>
    <phoneticPr fontId="40" type="noConversion"/>
  </si>
  <si>
    <t>甲 33</t>
    <phoneticPr fontId="40" type="noConversion"/>
  </si>
  <si>
    <t>彩秀 ESSENSUALS</t>
    <phoneticPr fontId="40" type="noConversion"/>
  </si>
  <si>
    <t>巴黎汇</t>
    <phoneticPr fontId="40" type="noConversion"/>
  </si>
  <si>
    <t>专项服务</t>
    <phoneticPr fontId="40" type="noConversion"/>
  </si>
  <si>
    <t>单向街</t>
    <phoneticPr fontId="40" type="noConversion"/>
  </si>
  <si>
    <t>awfully chocolate</t>
    <phoneticPr fontId="40" type="noConversion"/>
  </si>
  <si>
    <t>MS BONBON</t>
    <phoneticPr fontId="40" type="noConversion"/>
  </si>
  <si>
    <t>星巴克</t>
    <phoneticPr fontId="40" type="noConversion"/>
  </si>
  <si>
    <t>TIAGO</t>
    <phoneticPr fontId="40" type="noConversion"/>
  </si>
  <si>
    <t>正餐</t>
    <phoneticPr fontId="40" type="noConversion"/>
  </si>
  <si>
    <t>浆宝</t>
    <phoneticPr fontId="40" type="noConversion"/>
  </si>
  <si>
    <t>悦童</t>
    <phoneticPr fontId="40" type="noConversion"/>
  </si>
  <si>
    <t>霾星人</t>
    <phoneticPr fontId="40" type="noConversion"/>
  </si>
  <si>
    <t>棉花糖</t>
    <phoneticPr fontId="40" type="noConversion"/>
  </si>
  <si>
    <t>DELIZIEFOLLIE</t>
    <phoneticPr fontId="40" type="noConversion"/>
  </si>
  <si>
    <t>木玩世家等</t>
    <phoneticPr fontId="40" type="noConversion"/>
  </si>
  <si>
    <t>DODO KIDS</t>
    <phoneticPr fontId="40" type="noConversion"/>
  </si>
  <si>
    <t>三元梅园</t>
    <phoneticPr fontId="40" type="noConversion"/>
  </si>
  <si>
    <t>STICKHOUSE</t>
    <phoneticPr fontId="40" type="noConversion"/>
  </si>
  <si>
    <t>西堤牛排</t>
    <phoneticPr fontId="40" type="noConversion"/>
  </si>
  <si>
    <t>MR.PIZZA</t>
    <phoneticPr fontId="40" type="noConversion"/>
  </si>
  <si>
    <t>满记甜品</t>
    <phoneticPr fontId="40" type="noConversion"/>
  </si>
  <si>
    <t>金鼎轩</t>
    <phoneticPr fontId="40" type="noConversion"/>
  </si>
  <si>
    <t>外婆家</t>
    <phoneticPr fontId="40" type="noConversion"/>
  </si>
  <si>
    <t>正餐</t>
    <phoneticPr fontId="40" type="noConversion"/>
  </si>
  <si>
    <t>权金城</t>
    <phoneticPr fontId="40" type="noConversion"/>
  </si>
  <si>
    <t>潮粤小馆</t>
    <phoneticPr fontId="40" type="noConversion"/>
  </si>
  <si>
    <t>泰和草本</t>
    <phoneticPr fontId="40" type="noConversion"/>
  </si>
  <si>
    <t>很有面</t>
    <phoneticPr fontId="40" type="noConversion"/>
  </si>
  <si>
    <t>小面驾到</t>
    <phoneticPr fontId="40" type="noConversion"/>
  </si>
  <si>
    <t>一麻一辣</t>
    <phoneticPr fontId="40" type="noConversion"/>
  </si>
  <si>
    <t>博多一幸舍</t>
    <phoneticPr fontId="40" type="noConversion"/>
  </si>
  <si>
    <t>大渔</t>
    <phoneticPr fontId="40" type="noConversion"/>
  </si>
  <si>
    <t>一品小笼</t>
    <phoneticPr fontId="40" type="noConversion"/>
  </si>
  <si>
    <t>滇草香</t>
    <phoneticPr fontId="40" type="noConversion"/>
  </si>
  <si>
    <t>很高兴遇见你</t>
    <phoneticPr fontId="40" type="noConversion"/>
  </si>
  <si>
    <t>争鲜</t>
    <phoneticPr fontId="40" type="noConversion"/>
  </si>
  <si>
    <t>鹿港小镇</t>
    <phoneticPr fontId="40" type="noConversion"/>
  </si>
  <si>
    <t>艾特尔诺</t>
    <phoneticPr fontId="40" type="noConversion"/>
  </si>
  <si>
    <t>肥猫</t>
    <phoneticPr fontId="40" type="noConversion"/>
  </si>
  <si>
    <t>MR J 周大侠</t>
    <phoneticPr fontId="40" type="noConversion"/>
  </si>
  <si>
    <t>神户六甲道</t>
    <phoneticPr fontId="40" type="noConversion"/>
  </si>
  <si>
    <t>57度湘</t>
    <phoneticPr fontId="40" type="noConversion"/>
  </si>
  <si>
    <t>薛蟠</t>
    <phoneticPr fontId="40" type="noConversion"/>
  </si>
  <si>
    <t>MIU 秘团</t>
    <phoneticPr fontId="40" type="noConversion"/>
  </si>
  <si>
    <t>爵士屋</t>
    <phoneticPr fontId="40" type="noConversion"/>
  </si>
  <si>
    <t>费尼</t>
    <phoneticPr fontId="40" type="noConversion"/>
  </si>
  <si>
    <t>树心旁</t>
    <phoneticPr fontId="40" type="noConversion"/>
  </si>
  <si>
    <t>THE RUG CHAT ROOM</t>
    <phoneticPr fontId="40" type="noConversion"/>
  </si>
  <si>
    <t>马迭尔冰棍</t>
    <phoneticPr fontId="40" type="noConversion"/>
  </si>
  <si>
    <t>漫果工坊</t>
    <phoneticPr fontId="40" type="noConversion"/>
  </si>
  <si>
    <t>CAKE BOSS</t>
    <phoneticPr fontId="40" type="noConversion"/>
  </si>
  <si>
    <t>水货</t>
    <phoneticPr fontId="40" type="noConversion"/>
  </si>
  <si>
    <t>串亭烧烤居酒屋</t>
    <phoneticPr fontId="40" type="noConversion"/>
  </si>
  <si>
    <t>赤坂亭</t>
    <phoneticPr fontId="40" type="noConversion"/>
  </si>
  <si>
    <t>拿渡</t>
    <phoneticPr fontId="40" type="noConversion"/>
  </si>
  <si>
    <t>度小月</t>
    <phoneticPr fontId="40" type="noConversion"/>
  </si>
  <si>
    <t>雕爷牛腩</t>
    <phoneticPr fontId="40" type="noConversion"/>
  </si>
  <si>
    <t>心泰心厨</t>
    <phoneticPr fontId="40" type="noConversion"/>
  </si>
  <si>
    <t>苗乡楼</t>
    <phoneticPr fontId="40" type="noConversion"/>
  </si>
  <si>
    <t>便宜坊</t>
    <phoneticPr fontId="40" type="noConversion"/>
  </si>
  <si>
    <t>西贝</t>
    <phoneticPr fontId="40" type="noConversion"/>
  </si>
  <si>
    <t>新辣道</t>
    <phoneticPr fontId="40" type="noConversion"/>
  </si>
  <si>
    <t>旺池</t>
    <phoneticPr fontId="40" type="noConversion"/>
  </si>
  <si>
    <t>望湘园</t>
    <phoneticPr fontId="40" type="noConversion"/>
  </si>
  <si>
    <t>品苑</t>
    <phoneticPr fontId="40" type="noConversion"/>
  </si>
  <si>
    <t>将太无二</t>
    <phoneticPr fontId="40" type="noConversion"/>
  </si>
  <si>
    <t>饺来饺去</t>
    <phoneticPr fontId="40" type="noConversion"/>
  </si>
  <si>
    <t>HI 辣</t>
    <phoneticPr fontId="40" type="noConversion"/>
  </si>
  <si>
    <t>海盗猫</t>
    <phoneticPr fontId="40" type="noConversion"/>
  </si>
  <si>
    <t>云海肴</t>
    <phoneticPr fontId="40" type="noConversion"/>
  </si>
  <si>
    <t>鲜芋仙</t>
    <phoneticPr fontId="40" type="noConversion"/>
  </si>
  <si>
    <t>一品三笑</t>
    <phoneticPr fontId="40" type="noConversion"/>
  </si>
  <si>
    <t>汉堡王</t>
    <phoneticPr fontId="40" type="noConversion"/>
  </si>
  <si>
    <t>萨丁小厨</t>
    <phoneticPr fontId="40" type="noConversion"/>
  </si>
  <si>
    <t>权味</t>
    <phoneticPr fontId="40" type="noConversion"/>
  </si>
  <si>
    <t>面香居</t>
    <phoneticPr fontId="40" type="noConversion"/>
  </si>
  <si>
    <t>萨莉亚</t>
    <phoneticPr fontId="40" type="noConversion"/>
  </si>
  <si>
    <t>胡椒厨房</t>
    <phoneticPr fontId="40" type="noConversion"/>
  </si>
  <si>
    <t>肯德基</t>
    <phoneticPr fontId="40" type="noConversion"/>
  </si>
  <si>
    <t>醉三分</t>
    <phoneticPr fontId="40" type="noConversion"/>
  </si>
  <si>
    <t>赛百味</t>
    <phoneticPr fontId="40" type="noConversion"/>
  </si>
  <si>
    <t>鲜饮空间</t>
    <phoneticPr fontId="40" type="noConversion"/>
  </si>
  <si>
    <t>丸龟制面</t>
    <phoneticPr fontId="40" type="noConversion"/>
  </si>
  <si>
    <t>澳门味道</t>
    <phoneticPr fontId="40" type="noConversion"/>
  </si>
  <si>
    <t>NEW YORK FRIES</t>
    <phoneticPr fontId="40" type="noConversion"/>
  </si>
  <si>
    <t>玩伴</t>
    <phoneticPr fontId="40" type="noConversion"/>
  </si>
  <si>
    <t>56度 CAKE</t>
    <phoneticPr fontId="40" type="noConversion"/>
  </si>
  <si>
    <t>非正餐</t>
    <phoneticPr fontId="40" type="noConversion"/>
  </si>
  <si>
    <t>咖喱虎</t>
    <phoneticPr fontId="40" type="noConversion"/>
  </si>
  <si>
    <t>珍仕菓</t>
    <phoneticPr fontId="40" type="noConversion"/>
  </si>
  <si>
    <t>泰焦鸡</t>
    <phoneticPr fontId="40" type="noConversion"/>
  </si>
  <si>
    <t>贝尔多爸爸</t>
    <phoneticPr fontId="40" type="noConversion"/>
  </si>
  <si>
    <t>找茶</t>
    <phoneticPr fontId="40" type="noConversion"/>
  </si>
  <si>
    <t>鲜元素</t>
    <phoneticPr fontId="40" type="noConversion"/>
  </si>
  <si>
    <t>吉野家+DQ</t>
    <phoneticPr fontId="40" type="noConversion"/>
  </si>
  <si>
    <t>呷哺呷哺</t>
    <phoneticPr fontId="40" type="noConversion"/>
  </si>
  <si>
    <t>文宇奶酪</t>
    <phoneticPr fontId="40" type="noConversion"/>
  </si>
  <si>
    <t>阳光物语</t>
    <phoneticPr fontId="40" type="noConversion"/>
  </si>
  <si>
    <t>COLDSTONE</t>
    <phoneticPr fontId="40" type="noConversion"/>
  </si>
  <si>
    <t>许留山</t>
    <phoneticPr fontId="40" type="noConversion"/>
  </si>
  <si>
    <t>多得路</t>
    <phoneticPr fontId="40" type="noConversion"/>
  </si>
  <si>
    <t>酷姆思CRUMBS</t>
    <phoneticPr fontId="40" type="noConversion"/>
  </si>
  <si>
    <t>香记肉干</t>
    <phoneticPr fontId="40" type="noConversion"/>
  </si>
  <si>
    <t>爱有梅有</t>
    <phoneticPr fontId="40" type="noConversion"/>
  </si>
  <si>
    <t>太平洋咖啡</t>
    <phoneticPr fontId="40" type="noConversion"/>
  </si>
  <si>
    <t>Millons of milkshakes</t>
    <phoneticPr fontId="40" type="noConversion"/>
  </si>
  <si>
    <t>租宝戴戴</t>
    <phoneticPr fontId="40" type="noConversion"/>
  </si>
  <si>
    <t>集品堂</t>
    <phoneticPr fontId="40" type="noConversion"/>
  </si>
  <si>
    <t>金银岛</t>
    <phoneticPr fontId="40" type="noConversion"/>
  </si>
  <si>
    <t>鲜品萃</t>
    <phoneticPr fontId="40" type="noConversion"/>
  </si>
  <si>
    <t>肖蒙马卡龙</t>
    <phoneticPr fontId="40" type="noConversion"/>
  </si>
  <si>
    <t>绿茶</t>
    <phoneticPr fontId="40" type="noConversion"/>
  </si>
  <si>
    <t>金钱豹</t>
    <phoneticPr fontId="40" type="noConversion"/>
  </si>
  <si>
    <t>唐宫</t>
    <phoneticPr fontId="40" type="noConversion"/>
  </si>
  <si>
    <t>火炉火</t>
    <phoneticPr fontId="40" type="noConversion"/>
  </si>
  <si>
    <t>疆爱</t>
    <phoneticPr fontId="40" type="noConversion"/>
  </si>
  <si>
    <t>TUTUANNA</t>
    <phoneticPr fontId="40" type="noConversion"/>
  </si>
  <si>
    <t>蕾舒翠</t>
    <phoneticPr fontId="40" type="noConversion"/>
  </si>
  <si>
    <t>可多</t>
    <phoneticPr fontId="40" type="noConversion"/>
  </si>
  <si>
    <t>HUSH</t>
    <phoneticPr fontId="40" type="noConversion"/>
  </si>
  <si>
    <t>POP MART</t>
    <phoneticPr fontId="40" type="noConversion"/>
  </si>
  <si>
    <t>综合服务</t>
    <phoneticPr fontId="40" type="noConversion"/>
  </si>
  <si>
    <t>SKIN FOOD</t>
    <phoneticPr fontId="40" type="noConversion"/>
  </si>
  <si>
    <t>宝岛眼镜</t>
    <phoneticPr fontId="40" type="noConversion"/>
  </si>
  <si>
    <t>HT</t>
    <phoneticPr fontId="40" type="noConversion"/>
  </si>
  <si>
    <t>CASIO</t>
    <phoneticPr fontId="40" type="noConversion"/>
  </si>
  <si>
    <t>阿芙</t>
    <phoneticPr fontId="40" type="noConversion"/>
  </si>
  <si>
    <t>KASANRIN</t>
    <phoneticPr fontId="40" type="noConversion"/>
  </si>
  <si>
    <t>面包新语</t>
    <phoneticPr fontId="40" type="noConversion"/>
  </si>
  <si>
    <t>EDIBLE</t>
    <phoneticPr fontId="40" type="noConversion"/>
  </si>
  <si>
    <t>西树泡芙</t>
    <phoneticPr fontId="40" type="noConversion"/>
  </si>
  <si>
    <t>爱一道</t>
    <phoneticPr fontId="40" type="noConversion"/>
  </si>
  <si>
    <t>池田寿司</t>
    <phoneticPr fontId="40" type="noConversion"/>
  </si>
  <si>
    <t>同仁堂</t>
    <phoneticPr fontId="40" type="noConversion"/>
  </si>
  <si>
    <t>美珍香</t>
    <phoneticPr fontId="40" type="noConversion"/>
  </si>
  <si>
    <t>西少爷肉夹馍</t>
    <phoneticPr fontId="40" type="noConversion"/>
  </si>
  <si>
    <t>卡西欧</t>
    <phoneticPr fontId="40" type="noConversion"/>
  </si>
  <si>
    <t>CICIG</t>
    <phoneticPr fontId="40" type="noConversion"/>
  </si>
  <si>
    <t>有机地球</t>
    <phoneticPr fontId="40" type="noConversion"/>
  </si>
  <si>
    <t>COOL4</t>
    <phoneticPr fontId="40" type="noConversion"/>
  </si>
  <si>
    <t>贡茶</t>
    <phoneticPr fontId="40" type="noConversion"/>
  </si>
  <si>
    <t>薯皇</t>
    <phoneticPr fontId="40" type="noConversion"/>
  </si>
  <si>
    <t>优之良品</t>
    <phoneticPr fontId="40" type="noConversion"/>
  </si>
  <si>
    <t>槑玩槑了</t>
    <phoneticPr fontId="40" type="noConversion"/>
  </si>
  <si>
    <t>快乐柠檬</t>
    <phoneticPr fontId="40" type="noConversion"/>
  </si>
  <si>
    <t>弹丸滋地</t>
    <phoneticPr fontId="40" type="noConversion"/>
  </si>
  <si>
    <t>渔夫得利</t>
    <phoneticPr fontId="40" type="noConversion"/>
  </si>
  <si>
    <t>小尾盐酥鸡</t>
    <phoneticPr fontId="40" type="noConversion"/>
  </si>
  <si>
    <t>MAX FACTOR</t>
    <phoneticPr fontId="40" type="noConversion"/>
  </si>
  <si>
    <t>HITOMI</t>
    <phoneticPr fontId="40" type="noConversion"/>
  </si>
  <si>
    <t>林清轩</t>
    <phoneticPr fontId="40" type="noConversion"/>
  </si>
  <si>
    <t>恋暖初茶</t>
    <phoneticPr fontId="40" type="noConversion"/>
  </si>
  <si>
    <t>喵不乖</t>
    <phoneticPr fontId="40" type="noConversion"/>
  </si>
  <si>
    <t>吧台料理烘培工坊</t>
    <phoneticPr fontId="40" type="noConversion"/>
  </si>
  <si>
    <t>哈霸欧顶</t>
    <phoneticPr fontId="40" type="noConversion"/>
  </si>
  <si>
    <t>雅漾</t>
    <phoneticPr fontId="40" type="noConversion"/>
  </si>
  <si>
    <t>CHAUMONT</t>
    <phoneticPr fontId="40" type="noConversion"/>
  </si>
  <si>
    <t>YANKEE CANDLE</t>
    <phoneticPr fontId="40" type="noConversion"/>
  </si>
  <si>
    <t>极草</t>
    <phoneticPr fontId="40" type="noConversion"/>
  </si>
  <si>
    <t>家居生活</t>
    <phoneticPr fontId="40" type="noConversion"/>
  </si>
  <si>
    <t>CANDY MASTER</t>
    <phoneticPr fontId="40" type="noConversion"/>
  </si>
  <si>
    <t>雷诺瓦</t>
    <phoneticPr fontId="40" type="noConversion"/>
  </si>
  <si>
    <t>LAMY</t>
    <phoneticPr fontId="40" type="noConversion"/>
  </si>
  <si>
    <t>优贝施进口药妆</t>
    <phoneticPr fontId="40" type="noConversion"/>
  </si>
  <si>
    <t>屈臣氏</t>
    <phoneticPr fontId="40" type="noConversion"/>
  </si>
  <si>
    <t>INCOCO</t>
    <phoneticPr fontId="40" type="noConversion"/>
  </si>
  <si>
    <t>FANTASTICK</t>
    <phoneticPr fontId="40" type="noConversion"/>
  </si>
  <si>
    <t>SOYYU</t>
    <phoneticPr fontId="40" type="noConversion"/>
  </si>
  <si>
    <t>ANE MONE</t>
    <phoneticPr fontId="40" type="noConversion"/>
  </si>
  <si>
    <t>U.SCEN</t>
    <phoneticPr fontId="40" type="noConversion"/>
  </si>
  <si>
    <t>迷你美珠</t>
    <phoneticPr fontId="40" type="noConversion"/>
  </si>
  <si>
    <t>撒露</t>
    <phoneticPr fontId="40" type="noConversion"/>
  </si>
  <si>
    <t>三佰瑞</t>
    <phoneticPr fontId="40" type="noConversion"/>
  </si>
  <si>
    <t>苏松府</t>
    <phoneticPr fontId="40" type="noConversion"/>
  </si>
  <si>
    <t>晴 9/1℃</t>
    <phoneticPr fontId="40" type="noConversion"/>
  </si>
  <si>
    <t>1、本日总销售5775239.1元，其中餐饮业态销售占24.6%，非餐饮业态销售占75.4%。</t>
    <phoneticPr fontId="40" type="noConversion"/>
  </si>
  <si>
    <t>2、主题活动：会员签到积点停车劵大放送；</t>
    <phoneticPr fontId="40" type="noConversion"/>
  </si>
  <si>
    <t xml:space="preserve">
2016年3月7日（星期一）
销售额（万元）：577.52（购物中心 528.39、永旺 49.13）；
月累计（万元）：5723.88；
客流（人）：48510；
车流（辆）：3608；
会员（个）：81234（新增61）；
=次主力商户（万元）=
零售：275.24；
餐饮：142.27（金钱豹 2.79、唐宫 2.87、绿茶 5.31、西贝 5.61、外婆家 5.12、火炉火 2.91、很高兴 2.28）；
GAP：6.71；
APPLE：50.00；
SEPHORA：15.17；
MUJI：7.05；
LOVE MOSCHINO：0.17；
UGG：0.38；
FRED PERRY：1.10；
izzue：1.25；
CHOCOOLATE：0.31；
优衣库：11.16；
HI 百货：3.62；
科技广场：11.43；
反斗城：1.79；
冰场：0.98；
金银岛：2.36；
金逸：15.39；
蓝天城：休业。</t>
    <phoneticPr fontId="40" type="noConversion"/>
  </si>
  <si>
    <t>朝阳大悦城，2016年3月7日（星期一），天气：晴，总销售额：577.52万元，零售：435.25万元，餐饮：142.27万元，客流量：4.85万人，车流量：3608辆，自本月1日起累计销售额：5723.88万元。
重点商户销售如下：APPLE：50.00万元；永旺超市：49.13万元；金逸影院：15.39万元；SEPHORA：15.17万元；朝阳科技广场：11.43万元；优衣库：11.16万元；MUJI：7.05万元；GAP：6.71万元；西贝：5.61万元；绿茶：5.31万元；唐宫：2.87万元。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</si>
</sst>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76" formatCode="_ &quot;￥&quot;* #,##0.00_ ;_ &quot;￥&quot;* \-#,##0.00_ ;_ &quot;￥&quot;* &quot;-&quot;??_ ;_ @_ "/>
    <numFmt numFmtId="177" formatCode="_(* #,##0_);_(* \(#,##0\);_(* &quot;-&quot;_);_(@_)"/>
    <numFmt numFmtId="178" formatCode="_(* #,##0.00_);_(* \(#,##0.00\);_(* &quot;-&quot;??_);_(@_)"/>
    <numFmt numFmtId="179" formatCode="0.0%"/>
    <numFmt numFmtId="180" formatCode="_ * #,##0_ ;_ * \-#,##0_ ;_ * &quot;-&quot;??_ ;_ @_ "/>
    <numFmt numFmtId="181" formatCode="#,##0.0_ "/>
    <numFmt numFmtId="182" formatCode="_ * #,##0.0_ ;_ * \-#,##0.0_ ;_ * &quot;-&quot;?_ ;_ @_ "/>
    <numFmt numFmtId="183" formatCode="yyyy&quot;年&quot;m&quot;月&quot;d&quot;日&quot;;@"/>
    <numFmt numFmtId="184" formatCode="[$-804]aaaa;@"/>
    <numFmt numFmtId="185" formatCode="#,##0.0"/>
    <numFmt numFmtId="186" formatCode="0.0"/>
    <numFmt numFmtId="187" formatCode="#,##0_ "/>
    <numFmt numFmtId="188" formatCode="yyyy&quot;年&quot;"/>
    <numFmt numFmtId="189" formatCode="#,##0.0_ ;[Red]\-#,##0.0\ "/>
    <numFmt numFmtId="190" formatCode="#,##0_ ;[Red]\-#,##0\ "/>
    <numFmt numFmtId="191" formatCode="0.00_);[Red]\(0.00\)"/>
    <numFmt numFmtId="192" formatCode="#,##0.00_);[Red]\(#,##0.00\)"/>
    <numFmt numFmtId="193" formatCode="0_);[Red]\(0\)"/>
    <numFmt numFmtId="194" formatCode="_ * #,##0.0_ ;_ * \-#,##0.0_ ;_ * &quot;-&quot;??_ ;_ @_ "/>
  </numFmts>
  <fonts count="81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8"/>
      <name val="宋体"/>
      <family val="3"/>
      <charset val="134"/>
    </font>
    <font>
      <sz val="9"/>
      <name val="宋体"/>
      <family val="3"/>
      <charset val="134"/>
    </font>
    <font>
      <b/>
      <sz val="8"/>
      <name val="微软雅黑"/>
      <family val="2"/>
      <charset val="134"/>
    </font>
    <font>
      <b/>
      <sz val="10"/>
      <name val="微软雅黑"/>
      <family val="2"/>
      <charset val="134"/>
    </font>
    <font>
      <b/>
      <sz val="7"/>
      <name val="微软雅黑"/>
      <family val="2"/>
      <charset val="134"/>
    </font>
    <font>
      <sz val="7"/>
      <name val="微软雅黑"/>
      <family val="2"/>
      <charset val="134"/>
    </font>
    <font>
      <sz val="7"/>
      <color rgb="FF000000"/>
      <name val="微软雅黑"/>
      <family val="2"/>
      <charset val="134"/>
    </font>
    <font>
      <b/>
      <sz val="7"/>
      <color rgb="FF000000"/>
      <name val="微软雅黑"/>
      <family val="2"/>
      <charset val="134"/>
    </font>
    <font>
      <sz val="7"/>
      <name val="宋体"/>
      <family val="3"/>
      <charset val="134"/>
    </font>
    <font>
      <sz val="7"/>
      <color indexed="8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8"/>
      <color theme="0"/>
      <name val="微软雅黑"/>
      <family val="2"/>
      <charset val="134"/>
    </font>
    <font>
      <sz val="12"/>
      <name val="微软雅黑"/>
      <family val="2"/>
      <charset val="134"/>
    </font>
    <font>
      <b/>
      <sz val="14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9"/>
      <color theme="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微软雅黑"/>
      <family val="2"/>
      <charset val="134"/>
    </font>
    <font>
      <sz val="8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6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11"/>
      <name val="微软雅黑"/>
      <family val="2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805"/>
        <bgColor indexed="64"/>
      </patternFill>
    </fill>
    <fill>
      <patternFill patternType="solid">
        <fgColor rgb="FF00B05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329">
    <xf numFmtId="0" fontId="0" fillId="0" borderId="0"/>
    <xf numFmtId="0" fontId="39" fillId="2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0" borderId="0" applyNumberFormat="0" applyBorder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1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3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8" fillId="0" borderId="0"/>
    <xf numFmtId="0" fontId="38" fillId="0" borderId="0"/>
    <xf numFmtId="0" fontId="47" fillId="4" borderId="0" applyNumberFormat="0" applyBorder="0" applyAlignment="0" applyProtection="0">
      <alignment vertical="center"/>
    </xf>
    <xf numFmtId="0" fontId="48" fillId="0" borderId="4" applyNumberFormat="0" applyFill="0" applyAlignment="0" applyProtection="0">
      <alignment vertical="center"/>
    </xf>
    <xf numFmtId="0" fontId="49" fillId="16" borderId="5" applyNumberFormat="0" applyAlignment="0" applyProtection="0">
      <alignment vertical="center"/>
    </xf>
    <xf numFmtId="0" fontId="50" fillId="17" borderId="6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7" applyNumberFormat="0" applyFill="0" applyAlignment="0" applyProtection="0">
      <alignment vertical="center"/>
    </xf>
    <xf numFmtId="178" fontId="38" fillId="0" borderId="0" applyFont="0" applyFill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5" fillId="16" borderId="8" applyNumberFormat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38" fillId="23" borderId="9" applyNumberFormat="0" applyFont="0" applyAlignment="0" applyProtection="0">
      <alignment vertical="center"/>
    </xf>
    <xf numFmtId="0" fontId="38" fillId="0" borderId="0"/>
    <xf numFmtId="0" fontId="38" fillId="0" borderId="0"/>
    <xf numFmtId="0" fontId="38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38" fillId="0" borderId="0"/>
    <xf numFmtId="178" fontId="38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38" fillId="0" borderId="0"/>
    <xf numFmtId="0" fontId="39" fillId="2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0" borderId="0" applyNumberFormat="0" applyBorder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1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3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7" fillId="4" borderId="0" applyNumberFormat="0" applyBorder="0" applyAlignment="0" applyProtection="0">
      <alignment vertical="center"/>
    </xf>
    <xf numFmtId="0" fontId="48" fillId="0" borderId="4" applyNumberFormat="0" applyFill="0" applyAlignment="0" applyProtection="0">
      <alignment vertical="center"/>
    </xf>
    <xf numFmtId="176" fontId="38" fillId="0" borderId="0" applyFont="0" applyFill="0" applyBorder="0" applyAlignment="0" applyProtection="0">
      <alignment vertical="center"/>
    </xf>
    <xf numFmtId="0" fontId="49" fillId="16" borderId="5" applyNumberFormat="0" applyAlignment="0" applyProtection="0">
      <alignment vertical="center"/>
    </xf>
    <xf numFmtId="0" fontId="50" fillId="17" borderId="6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7" applyNumberFormat="0" applyFill="0" applyAlignment="0" applyProtection="0">
      <alignment vertical="center"/>
    </xf>
    <xf numFmtId="178" fontId="38" fillId="0" borderId="0" applyFont="0" applyFill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5" fillId="16" borderId="8" applyNumberFormat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38" fillId="23" borderId="9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3" fillId="0" borderId="0" applyNumberFormat="0" applyFill="0" applyBorder="0" applyAlignment="0" applyProtection="0"/>
  </cellStyleXfs>
  <cellXfs count="342">
    <xf numFmtId="0" fontId="0" fillId="0" borderId="0" xfId="0" applyAlignment="1">
      <alignment vertical="center"/>
    </xf>
    <xf numFmtId="177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57" fillId="0" borderId="0" xfId="0" applyFont="1" applyBorder="1" applyAlignment="1">
      <alignment horizontal="center" vertical="center"/>
    </xf>
    <xf numFmtId="0" fontId="60" fillId="0" borderId="0" xfId="0" applyFont="1" applyAlignment="1">
      <alignment vertical="center"/>
    </xf>
    <xf numFmtId="0" fontId="61" fillId="24" borderId="10" xfId="0" applyFont="1" applyFill="1" applyBorder="1" applyAlignment="1">
      <alignment horizontal="center" vertical="center"/>
    </xf>
    <xf numFmtId="0" fontId="61" fillId="24" borderId="18" xfId="0" applyFont="1" applyFill="1" applyBorder="1" applyAlignment="1">
      <alignment horizontal="center" vertical="center"/>
    </xf>
    <xf numFmtId="177" fontId="61" fillId="24" borderId="19" xfId="0" applyNumberFormat="1" applyFont="1" applyFill="1" applyBorder="1" applyAlignment="1">
      <alignment horizontal="right" vertical="center"/>
    </xf>
    <xf numFmtId="179" fontId="61" fillId="24" borderId="19" xfId="0" applyNumberFormat="1" applyFont="1" applyFill="1" applyBorder="1" applyAlignment="1">
      <alignment horizontal="right" vertical="center"/>
    </xf>
    <xf numFmtId="0" fontId="65" fillId="0" borderId="0" xfId="0" applyFont="1" applyAlignment="1">
      <alignment vertical="center"/>
    </xf>
    <xf numFmtId="0" fontId="61" fillId="24" borderId="16" xfId="0" applyFont="1" applyFill="1" applyBorder="1" applyAlignment="1">
      <alignment horizontal="center" vertical="center"/>
    </xf>
    <xf numFmtId="0" fontId="61" fillId="24" borderId="17" xfId="0" applyFont="1" applyFill="1" applyBorder="1" applyAlignment="1">
      <alignment horizontal="center" vertical="center"/>
    </xf>
    <xf numFmtId="179" fontId="61" fillId="24" borderId="19" xfId="39" applyNumberFormat="1" applyFont="1" applyFill="1" applyBorder="1" applyAlignment="1">
      <alignment horizontal="right" vertical="center" readingOrder="1"/>
    </xf>
    <xf numFmtId="0" fontId="62" fillId="0" borderId="0" xfId="0" applyFont="1" applyBorder="1" applyAlignment="1">
      <alignment horizontal="center" vertical="center"/>
    </xf>
    <xf numFmtId="0" fontId="62" fillId="0" borderId="0" xfId="0" applyFont="1" applyBorder="1" applyAlignment="1">
      <alignment vertical="center"/>
    </xf>
    <xf numFmtId="0" fontId="61" fillId="31" borderId="10" xfId="0" applyFont="1" applyFill="1" applyBorder="1" applyAlignment="1">
      <alignment horizontal="center" vertical="center"/>
    </xf>
    <xf numFmtId="0" fontId="61" fillId="30" borderId="10" xfId="0" applyFont="1" applyFill="1" applyBorder="1" applyAlignment="1">
      <alignment horizontal="center" vertical="center"/>
    </xf>
    <xf numFmtId="0" fontId="62" fillId="31" borderId="16" xfId="0" applyFont="1" applyFill="1" applyBorder="1" applyAlignment="1">
      <alignment horizontal="center" vertical="center"/>
    </xf>
    <xf numFmtId="0" fontId="61" fillId="31" borderId="17" xfId="0" applyFont="1" applyFill="1" applyBorder="1" applyAlignment="1">
      <alignment horizontal="center" vertical="center"/>
    </xf>
    <xf numFmtId="0" fontId="61" fillId="30" borderId="16" xfId="0" applyFont="1" applyFill="1" applyBorder="1" applyAlignment="1">
      <alignment horizontal="center" vertical="center"/>
    </xf>
    <xf numFmtId="0" fontId="61" fillId="30" borderId="17" xfId="0" applyFont="1" applyFill="1" applyBorder="1" applyAlignment="1">
      <alignment horizontal="center" vertical="center"/>
    </xf>
    <xf numFmtId="0" fontId="62" fillId="35" borderId="16" xfId="0" applyFont="1" applyFill="1" applyBorder="1" applyAlignment="1">
      <alignment vertical="center"/>
    </xf>
    <xf numFmtId="181" fontId="69" fillId="0" borderId="0" xfId="0" applyNumberFormat="1" applyFont="1" applyAlignment="1">
      <alignment vertical="center"/>
    </xf>
    <xf numFmtId="180" fontId="62" fillId="27" borderId="16" xfId="39" applyNumberFormat="1" applyFont="1" applyFill="1" applyBorder="1" applyAlignment="1">
      <alignment horizontal="center" vertical="center" wrapText="1"/>
    </xf>
    <xf numFmtId="0" fontId="62" fillId="27" borderId="16" xfId="0" applyFont="1" applyFill="1" applyBorder="1" applyAlignment="1">
      <alignment horizontal="center" vertical="center"/>
    </xf>
    <xf numFmtId="179" fontId="62" fillId="27" borderId="10" xfId="0" applyNumberFormat="1" applyFont="1" applyFill="1" applyBorder="1" applyAlignment="1">
      <alignment vertical="center"/>
    </xf>
    <xf numFmtId="0" fontId="62" fillId="27" borderId="18" xfId="0" applyFont="1" applyFill="1" applyBorder="1" applyAlignment="1">
      <alignment horizontal="center" vertical="center"/>
    </xf>
    <xf numFmtId="179" fontId="62" fillId="27" borderId="19" xfId="0" applyNumberFormat="1" applyFont="1" applyFill="1" applyBorder="1" applyAlignment="1">
      <alignment vertical="center"/>
    </xf>
    <xf numFmtId="179" fontId="62" fillId="27" borderId="17" xfId="0" applyNumberFormat="1" applyFont="1" applyFill="1" applyBorder="1" applyAlignment="1">
      <alignment vertical="center"/>
    </xf>
    <xf numFmtId="0" fontId="62" fillId="27" borderId="16" xfId="0" applyFont="1" applyFill="1" applyBorder="1" applyAlignment="1">
      <alignment vertical="center"/>
    </xf>
    <xf numFmtId="0" fontId="62" fillId="27" borderId="22" xfId="0" applyFont="1" applyFill="1" applyBorder="1" applyAlignment="1">
      <alignment vertical="center"/>
    </xf>
    <xf numFmtId="0" fontId="62" fillId="27" borderId="18" xfId="0" applyFont="1" applyFill="1" applyBorder="1" applyAlignment="1">
      <alignment vertical="center"/>
    </xf>
    <xf numFmtId="0" fontId="62" fillId="27" borderId="23" xfId="0" applyFont="1" applyFill="1" applyBorder="1" applyAlignment="1">
      <alignment vertical="center"/>
    </xf>
    <xf numFmtId="177" fontId="62" fillId="27" borderId="10" xfId="0" applyNumberFormat="1" applyFont="1" applyFill="1" applyBorder="1" applyAlignment="1">
      <alignment horizontal="center" vertical="center"/>
    </xf>
    <xf numFmtId="177" fontId="62" fillId="27" borderId="19" xfId="0" applyNumberFormat="1" applyFont="1" applyFill="1" applyBorder="1" applyAlignment="1">
      <alignment horizontal="center" vertical="center"/>
    </xf>
    <xf numFmtId="0" fontId="61" fillId="34" borderId="16" xfId="30" applyFont="1" applyFill="1" applyBorder="1" applyAlignment="1">
      <alignment horizontal="center" vertical="center"/>
    </xf>
    <xf numFmtId="0" fontId="61" fillId="34" borderId="10" xfId="30" applyFont="1" applyFill="1" applyBorder="1" applyAlignment="1">
      <alignment horizontal="center" vertical="center"/>
    </xf>
    <xf numFmtId="178" fontId="61" fillId="34" borderId="10" xfId="30" applyNumberFormat="1" applyFont="1" applyFill="1" applyBorder="1" applyAlignment="1">
      <alignment horizontal="center" vertical="center"/>
    </xf>
    <xf numFmtId="0" fontId="61" fillId="34" borderId="17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center" vertical="center"/>
    </xf>
    <xf numFmtId="0" fontId="61" fillId="38" borderId="16" xfId="0" applyFont="1" applyFill="1" applyBorder="1" applyAlignment="1">
      <alignment horizontal="center" vertical="center"/>
    </xf>
    <xf numFmtId="0" fontId="61" fillId="38" borderId="10" xfId="0" applyFont="1" applyFill="1" applyBorder="1" applyAlignment="1">
      <alignment vertical="center"/>
    </xf>
    <xf numFmtId="179" fontId="61" fillId="38" borderId="10" xfId="0" applyNumberFormat="1" applyFont="1" applyFill="1" applyBorder="1" applyAlignment="1">
      <alignment vertical="center"/>
    </xf>
    <xf numFmtId="0" fontId="61" fillId="38" borderId="10" xfId="30" applyFont="1" applyFill="1" applyBorder="1" applyAlignment="1">
      <alignment horizontal="center" vertical="center"/>
    </xf>
    <xf numFmtId="177" fontId="61" fillId="38" borderId="10" xfId="30" applyNumberFormat="1" applyFont="1" applyFill="1" applyBorder="1" applyAlignment="1">
      <alignment horizontal="center" vertical="center"/>
    </xf>
    <xf numFmtId="0" fontId="61" fillId="38" borderId="16" xfId="30" applyFont="1" applyFill="1" applyBorder="1" applyAlignment="1">
      <alignment horizontal="center" vertical="center"/>
    </xf>
    <xf numFmtId="0" fontId="61" fillId="25" borderId="16" xfId="30" applyFont="1" applyFill="1" applyBorder="1" applyAlignment="1">
      <alignment horizontal="center" vertical="center"/>
    </xf>
    <xf numFmtId="0" fontId="61" fillId="25" borderId="10" xfId="30" applyFont="1" applyFill="1" applyBorder="1" applyAlignment="1">
      <alignment horizontal="center" vertical="center"/>
    </xf>
    <xf numFmtId="178" fontId="61" fillId="25" borderId="10" xfId="30" applyNumberFormat="1" applyFont="1" applyFill="1" applyBorder="1" applyAlignment="1">
      <alignment horizontal="center" vertical="center"/>
    </xf>
    <xf numFmtId="0" fontId="61" fillId="25" borderId="10" xfId="0" applyFont="1" applyFill="1" applyBorder="1" applyAlignment="1">
      <alignment horizontal="center" vertical="center"/>
    </xf>
    <xf numFmtId="0" fontId="61" fillId="25" borderId="17" xfId="0" applyFont="1" applyFill="1" applyBorder="1" applyAlignment="1">
      <alignment horizontal="center" vertical="center"/>
    </xf>
    <xf numFmtId="0" fontId="61" fillId="39" borderId="16" xfId="30" applyFont="1" applyFill="1" applyBorder="1" applyAlignment="1">
      <alignment horizontal="center" vertical="center"/>
    </xf>
    <xf numFmtId="0" fontId="61" fillId="39" borderId="10" xfId="30" applyFont="1" applyFill="1" applyBorder="1" applyAlignment="1">
      <alignment horizontal="center" vertical="center"/>
    </xf>
    <xf numFmtId="177" fontId="61" fillId="39" borderId="10" xfId="30" applyNumberFormat="1" applyFont="1" applyFill="1" applyBorder="1" applyAlignment="1">
      <alignment horizontal="center" vertical="center"/>
    </xf>
    <xf numFmtId="0" fontId="61" fillId="40" borderId="16" xfId="30" applyFont="1" applyFill="1" applyBorder="1" applyAlignment="1">
      <alignment horizontal="center" vertical="center"/>
    </xf>
    <xf numFmtId="0" fontId="61" fillId="40" borderId="10" xfId="30" applyFont="1" applyFill="1" applyBorder="1" applyAlignment="1">
      <alignment horizontal="center" vertical="center"/>
    </xf>
    <xf numFmtId="178" fontId="61" fillId="40" borderId="10" xfId="30" applyNumberFormat="1" applyFont="1" applyFill="1" applyBorder="1" applyAlignment="1">
      <alignment horizontal="center" vertical="center"/>
    </xf>
    <xf numFmtId="0" fontId="61" fillId="40" borderId="10" xfId="0" applyFont="1" applyFill="1" applyBorder="1" applyAlignment="1">
      <alignment horizontal="center" vertical="center"/>
    </xf>
    <xf numFmtId="0" fontId="61" fillId="40" borderId="17" xfId="0" applyFont="1" applyFill="1" applyBorder="1" applyAlignment="1">
      <alignment horizontal="center" vertical="center"/>
    </xf>
    <xf numFmtId="177" fontId="62" fillId="27" borderId="10" xfId="0" applyNumberFormat="1" applyFont="1" applyFill="1" applyBorder="1" applyAlignment="1">
      <alignment horizontal="right" vertical="center"/>
    </xf>
    <xf numFmtId="179" fontId="62" fillId="27" borderId="1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62" fillId="0" borderId="0" xfId="0" applyNumberFormat="1" applyFont="1" applyFill="1" applyBorder="1" applyAlignment="1">
      <alignment vertical="center"/>
    </xf>
    <xf numFmtId="0" fontId="62" fillId="0" borderId="0" xfId="0" applyFont="1" applyFill="1" applyBorder="1" applyAlignment="1">
      <alignment horizontal="center" vertical="center"/>
    </xf>
    <xf numFmtId="0" fontId="62" fillId="0" borderId="0" xfId="31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vertical="center"/>
    </xf>
    <xf numFmtId="178" fontId="62" fillId="27" borderId="17" xfId="0" applyNumberFormat="1" applyFont="1" applyFill="1" applyBorder="1" applyAlignment="1">
      <alignment horizontal="center" vertical="center"/>
    </xf>
    <xf numFmtId="178" fontId="62" fillId="27" borderId="20" xfId="0" applyNumberFormat="1" applyFont="1" applyFill="1" applyBorder="1" applyAlignment="1">
      <alignment horizontal="center" vertical="center"/>
    </xf>
    <xf numFmtId="178" fontId="62" fillId="27" borderId="17" xfId="0" applyNumberFormat="1" applyFont="1" applyFill="1" applyBorder="1" applyAlignment="1">
      <alignment vertical="center"/>
    </xf>
    <xf numFmtId="178" fontId="62" fillId="27" borderId="20" xfId="0" applyNumberFormat="1" applyFont="1" applyFill="1" applyBorder="1" applyAlignment="1">
      <alignment vertical="center"/>
    </xf>
    <xf numFmtId="178" fontId="61" fillId="38" borderId="17" xfId="0" applyNumberFormat="1" applyFont="1" applyFill="1" applyBorder="1" applyAlignment="1">
      <alignment horizontal="center" vertical="center"/>
    </xf>
    <xf numFmtId="178" fontId="61" fillId="39" borderId="17" xfId="0" applyNumberFormat="1" applyFont="1" applyFill="1" applyBorder="1" applyAlignment="1">
      <alignment horizontal="center" vertical="center"/>
    </xf>
    <xf numFmtId="178" fontId="61" fillId="38" borderId="17" xfId="0" applyNumberFormat="1" applyFont="1" applyFill="1" applyBorder="1" applyAlignment="1">
      <alignment vertical="center"/>
    </xf>
    <xf numFmtId="177" fontId="62" fillId="27" borderId="10" xfId="0" applyNumberFormat="1" applyFont="1" applyFill="1" applyBorder="1" applyAlignment="1">
      <alignment vertical="center"/>
    </xf>
    <xf numFmtId="177" fontId="62" fillId="27" borderId="19" xfId="0" applyNumberFormat="1" applyFont="1" applyFill="1" applyBorder="1" applyAlignment="1">
      <alignment vertical="center"/>
    </xf>
    <xf numFmtId="177" fontId="61" fillId="38" borderId="10" xfId="0" applyNumberFormat="1" applyFont="1" applyFill="1" applyBorder="1" applyAlignment="1">
      <alignment horizontal="right" vertical="center"/>
    </xf>
    <xf numFmtId="177" fontId="61" fillId="38" borderId="10" xfId="0" applyNumberFormat="1" applyFont="1" applyFill="1" applyBorder="1" applyAlignment="1">
      <alignment vertical="center"/>
    </xf>
    <xf numFmtId="177" fontId="61" fillId="38" borderId="10" xfId="0" applyNumberFormat="1" applyFont="1" applyFill="1" applyBorder="1" applyAlignment="1">
      <alignment horizontal="center" vertical="center"/>
    </xf>
    <xf numFmtId="177" fontId="62" fillId="27" borderId="24" xfId="0" applyNumberFormat="1" applyFont="1" applyFill="1" applyBorder="1" applyAlignment="1">
      <alignment vertical="center"/>
    </xf>
    <xf numFmtId="177" fontId="62" fillId="27" borderId="21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79" fontId="62" fillId="27" borderId="20" xfId="0" applyNumberFormat="1" applyFont="1" applyFill="1" applyBorder="1" applyAlignment="1">
      <alignment vertical="center"/>
    </xf>
    <xf numFmtId="177" fontId="64" fillId="26" borderId="19" xfId="0" applyNumberFormat="1" applyFont="1" applyFill="1" applyBorder="1" applyAlignment="1">
      <alignment horizontal="right" vertical="center" readingOrder="1"/>
    </xf>
    <xf numFmtId="177" fontId="64" fillId="26" borderId="19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177" fontId="62" fillId="0" borderId="0" xfId="0" applyNumberFormat="1" applyFont="1" applyFill="1" applyBorder="1" applyAlignment="1">
      <alignment vertical="center"/>
    </xf>
    <xf numFmtId="179" fontId="62" fillId="0" borderId="0" xfId="0" applyNumberFormat="1" applyFont="1" applyFill="1" applyBorder="1" applyAlignment="1">
      <alignment horizontal="center" vertical="center"/>
    </xf>
    <xf numFmtId="177" fontId="62" fillId="0" borderId="0" xfId="0" applyNumberFormat="1" applyFont="1" applyFill="1" applyBorder="1" applyAlignment="1">
      <alignment horizontal="center" vertical="center"/>
    </xf>
    <xf numFmtId="178" fontId="62" fillId="0" borderId="0" xfId="0" applyNumberFormat="1" applyFont="1" applyFill="1" applyBorder="1" applyAlignment="1">
      <alignment horizontal="center" vertical="center"/>
    </xf>
    <xf numFmtId="0" fontId="60" fillId="0" borderId="0" xfId="31" applyFont="1" applyFill="1" applyBorder="1" applyAlignment="1">
      <alignment horizontal="left" vertical="center"/>
    </xf>
    <xf numFmtId="0" fontId="61" fillId="41" borderId="13" xfId="31" applyFont="1" applyFill="1" applyBorder="1" applyAlignment="1">
      <alignment horizontal="center" vertical="center"/>
    </xf>
    <xf numFmtId="0" fontId="61" fillId="41" borderId="14" xfId="31" applyFont="1" applyFill="1" applyBorder="1" applyAlignment="1">
      <alignment horizontal="center" vertical="center"/>
    </xf>
    <xf numFmtId="0" fontId="61" fillId="0" borderId="16" xfId="31" applyFont="1" applyFill="1" applyBorder="1" applyAlignment="1">
      <alignment horizontal="center" vertical="center"/>
    </xf>
    <xf numFmtId="0" fontId="61" fillId="0" borderId="18" xfId="31" applyFont="1" applyFill="1" applyBorder="1" applyAlignment="1">
      <alignment horizontal="center" vertical="center"/>
    </xf>
    <xf numFmtId="182" fontId="62" fillId="27" borderId="24" xfId="0" applyNumberFormat="1" applyFont="1" applyFill="1" applyBorder="1" applyAlignment="1">
      <alignment vertical="center"/>
    </xf>
    <xf numFmtId="0" fontId="62" fillId="27" borderId="19" xfId="30" applyFont="1" applyFill="1" applyBorder="1" applyAlignment="1">
      <alignment horizontal="center" vertical="center"/>
    </xf>
    <xf numFmtId="0" fontId="62" fillId="27" borderId="10" xfId="30" applyFont="1" applyFill="1" applyBorder="1" applyAlignment="1">
      <alignment horizontal="center" vertical="center"/>
    </xf>
    <xf numFmtId="177" fontId="64" fillId="27" borderId="10" xfId="0" applyNumberFormat="1" applyFont="1" applyFill="1" applyBorder="1" applyAlignment="1">
      <alignment horizontal="right" vertical="center"/>
    </xf>
    <xf numFmtId="0" fontId="61" fillId="27" borderId="22" xfId="0" applyFont="1" applyFill="1" applyBorder="1" applyAlignment="1">
      <alignment vertical="center"/>
    </xf>
    <xf numFmtId="182" fontId="61" fillId="27" borderId="26" xfId="0" applyNumberFormat="1" applyFont="1" applyFill="1" applyBorder="1" applyAlignment="1">
      <alignment vertical="center"/>
    </xf>
    <xf numFmtId="177" fontId="61" fillId="27" borderId="25" xfId="0" applyNumberFormat="1" applyFont="1" applyFill="1" applyBorder="1" applyAlignment="1">
      <alignment vertical="center"/>
    </xf>
    <xf numFmtId="179" fontId="61" fillId="26" borderId="20" xfId="0" applyNumberFormat="1" applyFont="1" applyFill="1" applyBorder="1" applyAlignment="1">
      <alignment vertical="center"/>
    </xf>
    <xf numFmtId="0" fontId="61" fillId="25" borderId="10" xfId="30" applyFont="1" applyFill="1" applyBorder="1" applyAlignment="1">
      <alignment horizontal="right" vertical="center"/>
    </xf>
    <xf numFmtId="179" fontId="61" fillId="38" borderId="10" xfId="30" applyNumberFormat="1" applyFont="1" applyFill="1" applyBorder="1" applyAlignment="1">
      <alignment horizontal="right" vertical="center"/>
    </xf>
    <xf numFmtId="179" fontId="61" fillId="39" borderId="10" xfId="30" applyNumberFormat="1" applyFont="1" applyFill="1" applyBorder="1" applyAlignment="1">
      <alignment horizontal="right" vertical="center"/>
    </xf>
    <xf numFmtId="0" fontId="0" fillId="0" borderId="0" xfId="0" applyBorder="1" applyAlignment="1">
      <alignment vertical="center"/>
    </xf>
    <xf numFmtId="58" fontId="70" fillId="0" borderId="0" xfId="0" applyNumberFormat="1" applyFont="1" applyFill="1" applyAlignment="1">
      <alignment horizontal="center" vertical="center"/>
    </xf>
    <xf numFmtId="179" fontId="62" fillId="0" borderId="10" xfId="0" applyNumberFormat="1" applyFont="1" applyFill="1" applyBorder="1" applyAlignment="1">
      <alignment vertical="center"/>
    </xf>
    <xf numFmtId="179" fontId="62" fillId="0" borderId="19" xfId="0" applyNumberFormat="1" applyFont="1" applyFill="1" applyBorder="1" applyAlignment="1">
      <alignment vertical="center"/>
    </xf>
    <xf numFmtId="179" fontId="62" fillId="0" borderId="10" xfId="19" applyNumberFormat="1" applyFont="1" applyFill="1" applyBorder="1" applyAlignment="1">
      <alignment horizontal="right" vertical="center" readingOrder="1"/>
    </xf>
    <xf numFmtId="179" fontId="61" fillId="39" borderId="10" xfId="0" applyNumberFormat="1" applyFont="1" applyFill="1" applyBorder="1" applyAlignment="1">
      <alignment vertical="center"/>
    </xf>
    <xf numFmtId="179" fontId="61" fillId="38" borderId="10" xfId="0" applyNumberFormat="1" applyFont="1" applyFill="1" applyBorder="1" applyAlignment="1">
      <alignment horizontal="right" vertical="center"/>
    </xf>
    <xf numFmtId="179" fontId="62" fillId="27" borderId="19" xfId="0" applyNumberFormat="1" applyFont="1" applyFill="1" applyBorder="1" applyAlignment="1">
      <alignment horizontal="right" vertical="center"/>
    </xf>
    <xf numFmtId="177" fontId="63" fillId="0" borderId="10" xfId="0" applyNumberFormat="1" applyFont="1" applyFill="1" applyBorder="1" applyAlignment="1">
      <alignment horizontal="right" vertical="center" readingOrder="1"/>
    </xf>
    <xf numFmtId="177" fontId="63" fillId="0" borderId="10" xfId="0" applyNumberFormat="1" applyFont="1" applyFill="1" applyBorder="1" applyAlignment="1">
      <alignment horizontal="right" vertical="center"/>
    </xf>
    <xf numFmtId="177" fontId="62" fillId="0" borderId="10" xfId="0" applyNumberFormat="1" applyFont="1" applyFill="1" applyBorder="1" applyAlignment="1">
      <alignment vertical="center"/>
    </xf>
    <xf numFmtId="0" fontId="62" fillId="0" borderId="16" xfId="30" applyFont="1" applyFill="1" applyBorder="1" applyAlignment="1">
      <alignment horizontal="center" vertical="center"/>
    </xf>
    <xf numFmtId="0" fontId="62" fillId="0" borderId="10" xfId="30" applyFont="1" applyFill="1" applyBorder="1" applyAlignment="1">
      <alignment horizontal="center" vertical="center"/>
    </xf>
    <xf numFmtId="179" fontId="66" fillId="0" borderId="10" xfId="39" applyNumberFormat="1" applyFont="1" applyFill="1" applyBorder="1" applyAlignment="1" applyProtection="1">
      <alignment horizontal="right" vertical="center"/>
    </xf>
    <xf numFmtId="177" fontId="62" fillId="0" borderId="10" xfId="0" applyNumberFormat="1" applyFont="1" applyFill="1" applyBorder="1" applyAlignment="1">
      <alignment horizontal="center" vertical="center"/>
    </xf>
    <xf numFmtId="178" fontId="62" fillId="0" borderId="17" xfId="0" applyNumberFormat="1" applyFont="1" applyFill="1" applyBorder="1" applyAlignment="1">
      <alignment horizontal="center" vertical="center"/>
    </xf>
    <xf numFmtId="0" fontId="66" fillId="0" borderId="16" xfId="30" applyFont="1" applyFill="1" applyBorder="1" applyAlignment="1">
      <alignment horizontal="center" vertical="center"/>
    </xf>
    <xf numFmtId="0" fontId="62" fillId="0" borderId="18" xfId="30" applyFont="1" applyFill="1" applyBorder="1" applyAlignment="1">
      <alignment horizontal="center" vertical="center"/>
    </xf>
    <xf numFmtId="0" fontId="62" fillId="0" borderId="19" xfId="30" applyFont="1" applyFill="1" applyBorder="1" applyAlignment="1">
      <alignment horizontal="center" vertical="center"/>
    </xf>
    <xf numFmtId="177" fontId="62" fillId="0" borderId="19" xfId="0" applyNumberFormat="1" applyFont="1" applyFill="1" applyBorder="1" applyAlignment="1">
      <alignment horizontal="center" vertical="center"/>
    </xf>
    <xf numFmtId="178" fontId="62" fillId="0" borderId="20" xfId="0" applyNumberFormat="1" applyFont="1" applyFill="1" applyBorder="1" applyAlignment="1">
      <alignment horizontal="center" vertical="center"/>
    </xf>
    <xf numFmtId="0" fontId="62" fillId="0" borderId="16" xfId="30" applyFont="1" applyFill="1" applyBorder="1" applyAlignment="1">
      <alignment horizontal="center"/>
    </xf>
    <xf numFmtId="178" fontId="62" fillId="0" borderId="17" xfId="0" applyNumberFormat="1" applyFont="1" applyFill="1" applyBorder="1" applyAlignment="1">
      <alignment vertical="center"/>
    </xf>
    <xf numFmtId="178" fontId="62" fillId="0" borderId="20" xfId="0" applyNumberFormat="1" applyFont="1" applyFill="1" applyBorder="1" applyAlignment="1">
      <alignment vertical="center"/>
    </xf>
    <xf numFmtId="177" fontId="61" fillId="0" borderId="10" xfId="0" applyNumberFormat="1" applyFont="1" applyFill="1" applyBorder="1" applyAlignment="1">
      <alignment vertical="center"/>
    </xf>
    <xf numFmtId="179" fontId="61" fillId="0" borderId="19" xfId="0" applyNumberFormat="1" applyFont="1" applyFill="1" applyBorder="1" applyAlignment="1">
      <alignment vertical="center"/>
    </xf>
    <xf numFmtId="0" fontId="62" fillId="0" borderId="18" xfId="0" applyFont="1" applyFill="1" applyBorder="1" applyAlignment="1">
      <alignment horizontal="center" vertical="center"/>
    </xf>
    <xf numFmtId="0" fontId="62" fillId="0" borderId="16" xfId="31" applyFont="1" applyFill="1" applyBorder="1" applyAlignment="1">
      <alignment horizontal="center" vertical="center"/>
    </xf>
    <xf numFmtId="0" fontId="62" fillId="0" borderId="16" xfId="31" applyFont="1" applyFill="1" applyBorder="1" applyAlignment="1">
      <alignment horizontal="center"/>
    </xf>
    <xf numFmtId="0" fontId="62" fillId="0" borderId="18" xfId="31" applyFont="1" applyFill="1" applyBorder="1" applyAlignment="1">
      <alignment horizontal="center" vertical="center"/>
    </xf>
    <xf numFmtId="0" fontId="0" fillId="0" borderId="0" xfId="0" applyAlignment="1" applyProtection="1">
      <alignment vertical="center"/>
    </xf>
    <xf numFmtId="177" fontId="61" fillId="40" borderId="10" xfId="30" applyNumberFormat="1" applyFont="1" applyFill="1" applyBorder="1" applyAlignment="1" applyProtection="1">
      <alignment horizontal="center" vertical="center"/>
    </xf>
    <xf numFmtId="177" fontId="62" fillId="0" borderId="0" xfId="30" applyNumberFormat="1" applyFont="1" applyFill="1" applyBorder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177" fontId="61" fillId="34" borderId="10" xfId="30" applyNumberFormat="1" applyFont="1" applyFill="1" applyBorder="1" applyAlignment="1" applyProtection="1">
      <alignment horizontal="center" vertical="center"/>
    </xf>
    <xf numFmtId="177" fontId="61" fillId="38" borderId="10" xfId="0" applyNumberFormat="1" applyFont="1" applyFill="1" applyBorder="1" applyAlignment="1" applyProtection="1">
      <alignment horizontal="right" vertical="center"/>
    </xf>
    <xf numFmtId="177" fontId="62" fillId="27" borderId="10" xfId="0" applyNumberFormat="1" applyFont="1" applyFill="1" applyBorder="1" applyAlignment="1" applyProtection="1">
      <alignment vertical="center"/>
    </xf>
    <xf numFmtId="0" fontId="57" fillId="0" borderId="0" xfId="0" applyFont="1" applyBorder="1" applyAlignment="1" applyProtection="1">
      <alignment horizontal="center" vertical="center"/>
    </xf>
    <xf numFmtId="177" fontId="61" fillId="25" borderId="10" xfId="30" applyNumberFormat="1" applyFont="1" applyFill="1" applyBorder="1" applyAlignment="1" applyProtection="1">
      <alignment horizontal="center" vertical="center"/>
    </xf>
    <xf numFmtId="177" fontId="61" fillId="38" borderId="10" xfId="30" applyNumberFormat="1" applyFont="1" applyFill="1" applyBorder="1" applyAlignment="1" applyProtection="1">
      <alignment horizontal="center" vertical="center"/>
    </xf>
    <xf numFmtId="177" fontId="61" fillId="39" borderId="10" xfId="30" applyNumberFormat="1" applyFont="1" applyFill="1" applyBorder="1" applyAlignment="1" applyProtection="1">
      <alignment horizontal="center" vertical="center"/>
    </xf>
    <xf numFmtId="181" fontId="0" fillId="0" borderId="0" xfId="0" applyNumberFormat="1" applyAlignment="1">
      <alignment vertical="center"/>
    </xf>
    <xf numFmtId="179" fontId="62" fillId="0" borderId="0" xfId="0" applyNumberFormat="1" applyFont="1" applyFill="1" applyBorder="1" applyAlignment="1">
      <alignment vertical="center"/>
    </xf>
    <xf numFmtId="3" fontId="64" fillId="0" borderId="10" xfId="0" applyNumberFormat="1" applyFont="1" applyFill="1" applyBorder="1" applyAlignment="1">
      <alignment horizontal="right" vertical="center" readingOrder="1"/>
    </xf>
    <xf numFmtId="185" fontId="61" fillId="24" borderId="19" xfId="0" applyNumberFormat="1" applyFont="1" applyFill="1" applyBorder="1" applyAlignment="1">
      <alignment horizontal="right" vertical="center" readingOrder="1"/>
    </xf>
    <xf numFmtId="3" fontId="61" fillId="24" borderId="20" xfId="0" applyNumberFormat="1" applyFont="1" applyFill="1" applyBorder="1" applyAlignment="1">
      <alignment horizontal="right" vertical="center" readingOrder="1"/>
    </xf>
    <xf numFmtId="177" fontId="62" fillId="0" borderId="0" xfId="30" applyNumberFormat="1" applyFont="1" applyFill="1" applyBorder="1" applyAlignment="1" applyProtection="1">
      <alignment horizontal="left" vertical="center"/>
    </xf>
    <xf numFmtId="0" fontId="62" fillId="0" borderId="17" xfId="30" applyNumberFormat="1" applyFont="1" applyFill="1" applyBorder="1" applyAlignment="1" applyProtection="1">
      <alignment horizontal="center" vertical="center"/>
    </xf>
    <xf numFmtId="0" fontId="62" fillId="0" borderId="20" xfId="30" applyNumberFormat="1" applyFont="1" applyFill="1" applyBorder="1" applyAlignment="1" applyProtection="1">
      <alignment horizontal="center" vertical="center"/>
    </xf>
    <xf numFmtId="0" fontId="0" fillId="0" borderId="0" xfId="0" applyNumberFormat="1" applyAlignment="1">
      <alignment vertical="center"/>
    </xf>
    <xf numFmtId="0" fontId="61" fillId="40" borderId="10" xfId="3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61" fillId="34" borderId="10" xfId="30" applyNumberFormat="1" applyFont="1" applyFill="1" applyBorder="1" applyAlignment="1">
      <alignment horizontal="center" vertical="center"/>
    </xf>
    <xf numFmtId="0" fontId="61" fillId="38" borderId="10" xfId="0" applyNumberFormat="1" applyFont="1" applyFill="1" applyBorder="1" applyAlignment="1">
      <alignment horizontal="right" vertical="center"/>
    </xf>
    <xf numFmtId="0" fontId="57" fillId="0" borderId="0" xfId="0" applyNumberFormat="1" applyFont="1" applyBorder="1" applyAlignment="1">
      <alignment horizontal="center" vertical="center"/>
    </xf>
    <xf numFmtId="0" fontId="61" fillId="25" borderId="10" xfId="30" applyNumberFormat="1" applyFont="1" applyFill="1" applyBorder="1" applyAlignment="1">
      <alignment horizontal="center" vertical="center"/>
    </xf>
    <xf numFmtId="0" fontId="74" fillId="0" borderId="0" xfId="0" applyFont="1" applyFill="1" applyAlignment="1">
      <alignment vertical="center"/>
    </xf>
    <xf numFmtId="177" fontId="62" fillId="27" borderId="19" xfId="0" applyNumberFormat="1" applyFont="1" applyFill="1" applyBorder="1" applyAlignment="1" applyProtection="1">
      <alignment vertical="center"/>
    </xf>
    <xf numFmtId="4" fontId="63" fillId="0" borderId="16" xfId="0" applyNumberFormat="1" applyFont="1" applyFill="1" applyBorder="1" applyAlignment="1">
      <alignment horizontal="center" vertical="center" readingOrder="1"/>
    </xf>
    <xf numFmtId="185" fontId="63" fillId="0" borderId="10" xfId="0" applyNumberFormat="1" applyFont="1" applyFill="1" applyBorder="1" applyAlignment="1">
      <alignment horizontal="right" vertical="center" readingOrder="1"/>
    </xf>
    <xf numFmtId="3" fontId="63" fillId="0" borderId="17" xfId="0" applyNumberFormat="1" applyFont="1" applyFill="1" applyBorder="1" applyAlignment="1">
      <alignment horizontal="right" vertical="center" readingOrder="1"/>
    </xf>
    <xf numFmtId="0" fontId="75" fillId="0" borderId="30" xfId="0" applyFont="1" applyBorder="1" applyAlignment="1">
      <alignment vertical="top" wrapText="1"/>
    </xf>
    <xf numFmtId="0" fontId="75" fillId="0" borderId="30" xfId="0" applyFont="1" applyBorder="1" applyAlignment="1">
      <alignment vertical="top"/>
    </xf>
    <xf numFmtId="0" fontId="75" fillId="42" borderId="30" xfId="0" applyFont="1" applyFill="1" applyBorder="1" applyAlignment="1">
      <alignment vertical="top" wrapText="1"/>
    </xf>
    <xf numFmtId="0" fontId="75" fillId="42" borderId="30" xfId="0" applyFont="1" applyFill="1" applyBorder="1" applyAlignment="1">
      <alignment wrapText="1"/>
    </xf>
    <xf numFmtId="177" fontId="61" fillId="41" borderId="15" xfId="30" applyNumberFormat="1" applyFont="1" applyFill="1" applyBorder="1" applyAlignment="1" applyProtection="1">
      <alignment horizontal="center" vertical="center"/>
    </xf>
    <xf numFmtId="14" fontId="75" fillId="0" borderId="30" xfId="0" applyNumberFormat="1" applyFont="1" applyBorder="1" applyAlignment="1">
      <alignment horizontal="center" vertical="center" wrapText="1"/>
    </xf>
    <xf numFmtId="0" fontId="75" fillId="0" borderId="30" xfId="0" applyFont="1" applyBorder="1" applyAlignment="1">
      <alignment horizontal="center" vertical="center" wrapText="1"/>
    </xf>
    <xf numFmtId="0" fontId="75" fillId="0" borderId="0" xfId="0" applyFont="1" applyAlignment="1">
      <alignment vertical="center"/>
    </xf>
    <xf numFmtId="0" fontId="62" fillId="0" borderId="32" xfId="30" applyFont="1" applyFill="1" applyBorder="1" applyAlignment="1">
      <alignment horizontal="center" vertical="center"/>
    </xf>
    <xf numFmtId="0" fontId="62" fillId="27" borderId="33" xfId="30" applyFont="1" applyFill="1" applyBorder="1" applyAlignment="1">
      <alignment horizontal="center" vertical="center"/>
    </xf>
    <xf numFmtId="177" fontId="62" fillId="27" borderId="33" xfId="0" applyNumberFormat="1" applyFont="1" applyFill="1" applyBorder="1" applyAlignment="1" applyProtection="1">
      <alignment vertical="center"/>
    </xf>
    <xf numFmtId="179" fontId="62" fillId="27" borderId="33" xfId="0" applyNumberFormat="1" applyFont="1" applyFill="1" applyBorder="1" applyAlignment="1">
      <alignment vertical="center"/>
    </xf>
    <xf numFmtId="177" fontId="62" fillId="27" borderId="33" xfId="0" applyNumberFormat="1" applyFont="1" applyFill="1" applyBorder="1" applyAlignment="1">
      <alignment horizontal="center" vertical="center"/>
    </xf>
    <xf numFmtId="178" fontId="62" fillId="27" borderId="34" xfId="0" applyNumberFormat="1" applyFont="1" applyFill="1" applyBorder="1" applyAlignment="1">
      <alignment vertical="center"/>
    </xf>
    <xf numFmtId="0" fontId="61" fillId="37" borderId="13" xfId="0" applyFont="1" applyFill="1" applyBorder="1" applyAlignment="1">
      <alignment horizontal="right" vertical="center"/>
    </xf>
    <xf numFmtId="0" fontId="61" fillId="37" borderId="14" xfId="0" applyFont="1" applyFill="1" applyBorder="1" applyAlignment="1">
      <alignment horizontal="right" vertical="center"/>
    </xf>
    <xf numFmtId="0" fontId="61" fillId="37" borderId="18" xfId="0" applyFont="1" applyFill="1" applyBorder="1" applyAlignment="1">
      <alignment horizontal="right" vertical="center"/>
    </xf>
    <xf numFmtId="14" fontId="0" fillId="0" borderId="0" xfId="0" applyNumberFormat="1" applyAlignment="1">
      <alignment vertical="center"/>
    </xf>
    <xf numFmtId="186" fontId="62" fillId="0" borderId="10" xfId="31" applyNumberFormat="1" applyFont="1" applyFill="1" applyBorder="1" applyAlignment="1">
      <alignment horizontal="center" vertical="center"/>
    </xf>
    <xf numFmtId="186" fontId="62" fillId="0" borderId="19" xfId="31" applyNumberFormat="1" applyFont="1" applyFill="1" applyBorder="1" applyAlignment="1">
      <alignment horizontal="center" vertical="center"/>
    </xf>
    <xf numFmtId="177" fontId="62" fillId="27" borderId="17" xfId="0" applyNumberFormat="1" applyFont="1" applyFill="1" applyBorder="1" applyAlignment="1">
      <alignment vertical="center"/>
    </xf>
    <xf numFmtId="177" fontId="62" fillId="27" borderId="10" xfId="0" applyNumberFormat="1" applyFont="1" applyFill="1" applyBorder="1" applyAlignment="1" applyProtection="1">
      <alignment horizontal="center" vertical="center"/>
    </xf>
    <xf numFmtId="179" fontId="66" fillId="0" borderId="33" xfId="39" applyNumberFormat="1" applyFont="1" applyFill="1" applyBorder="1" applyAlignment="1" applyProtection="1">
      <alignment horizontal="right" vertical="center"/>
    </xf>
    <xf numFmtId="179" fontId="62" fillId="0" borderId="33" xfId="0" applyNumberFormat="1" applyFont="1" applyFill="1" applyBorder="1" applyAlignment="1">
      <alignment vertical="center"/>
    </xf>
    <xf numFmtId="187" fontId="62" fillId="0" borderId="10" xfId="0" applyNumberFormat="1" applyFont="1" applyFill="1" applyBorder="1" applyAlignment="1">
      <alignment vertical="center"/>
    </xf>
    <xf numFmtId="187" fontId="62" fillId="0" borderId="19" xfId="0" applyNumberFormat="1" applyFont="1" applyFill="1" applyBorder="1" applyAlignment="1">
      <alignment vertical="center"/>
    </xf>
    <xf numFmtId="179" fontId="66" fillId="0" borderId="19" xfId="39" applyNumberFormat="1" applyFont="1" applyFill="1" applyBorder="1" applyAlignment="1" applyProtection="1">
      <alignment horizontal="right" vertical="center"/>
    </xf>
    <xf numFmtId="177" fontId="62" fillId="0" borderId="19" xfId="0" applyNumberFormat="1" applyFont="1" applyFill="1" applyBorder="1" applyAlignment="1">
      <alignment vertical="center"/>
    </xf>
    <xf numFmtId="179" fontId="62" fillId="27" borderId="33" xfId="0" applyNumberFormat="1" applyFont="1" applyFill="1" applyBorder="1" applyAlignment="1">
      <alignment horizontal="right" vertical="center"/>
    </xf>
    <xf numFmtId="0" fontId="62" fillId="0" borderId="32" xfId="31" applyFont="1" applyFill="1" applyBorder="1" applyAlignment="1">
      <alignment horizontal="center" vertical="center"/>
    </xf>
    <xf numFmtId="178" fontId="62" fillId="27" borderId="34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188" fontId="70" fillId="0" borderId="0" xfId="0" applyNumberFormat="1" applyFont="1" applyAlignment="1">
      <alignment horizontal="center" vertical="center"/>
    </xf>
    <xf numFmtId="177" fontId="61" fillId="0" borderId="26" xfId="0" applyNumberFormat="1" applyFont="1" applyFill="1" applyBorder="1" applyAlignment="1">
      <alignment vertical="center"/>
    </xf>
    <xf numFmtId="3" fontId="0" fillId="0" borderId="0" xfId="0" applyNumberFormat="1" applyAlignment="1">
      <alignment vertical="center"/>
    </xf>
    <xf numFmtId="179" fontId="0" fillId="0" borderId="0" xfId="19" applyNumberFormat="1" applyFont="1" applyAlignment="1">
      <alignment vertical="center"/>
    </xf>
    <xf numFmtId="18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89" fontId="0" fillId="0" borderId="0" xfId="0" applyNumberFormat="1" applyAlignment="1">
      <alignment horizontal="center" vertical="center"/>
    </xf>
    <xf numFmtId="179" fontId="0" fillId="0" borderId="0" xfId="19" applyNumberFormat="1" applyFont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190" fontId="0" fillId="0" borderId="0" xfId="0" applyNumberFormat="1" applyAlignment="1">
      <alignment vertical="center"/>
    </xf>
    <xf numFmtId="0" fontId="77" fillId="0" borderId="38" xfId="51" applyFont="1" applyBorder="1" applyAlignment="1">
      <alignment vertical="center"/>
    </xf>
    <xf numFmtId="183" fontId="78" fillId="0" borderId="38" xfId="51" applyNumberFormat="1" applyFont="1" applyBorder="1" applyAlignment="1">
      <alignment vertical="center"/>
    </xf>
    <xf numFmtId="184" fontId="77" fillId="0" borderId="0" xfId="51" applyNumberFormat="1" applyFont="1" applyAlignment="1">
      <alignment horizontal="center" vertical="center"/>
    </xf>
    <xf numFmtId="192" fontId="79" fillId="0" borderId="38" xfId="51" applyNumberFormat="1" applyFont="1" applyBorder="1" applyAlignment="1">
      <alignment horizontal="right" vertical="center"/>
    </xf>
    <xf numFmtId="193" fontId="79" fillId="0" borderId="38" xfId="51" applyNumberFormat="1" applyFont="1" applyBorder="1" applyAlignment="1">
      <alignment horizontal="left" vertical="center"/>
    </xf>
    <xf numFmtId="0" fontId="77" fillId="0" borderId="0" xfId="51" applyFont="1" applyAlignment="1">
      <alignment vertical="center"/>
    </xf>
    <xf numFmtId="0" fontId="60" fillId="25" borderId="30" xfId="51" applyFont="1" applyFill="1" applyBorder="1" applyAlignment="1">
      <alignment horizontal="center" vertical="center"/>
    </xf>
    <xf numFmtId="0" fontId="60" fillId="25" borderId="30" xfId="51" applyNumberFormat="1" applyFont="1" applyFill="1" applyBorder="1" applyAlignment="1">
      <alignment horizontal="center" vertical="center"/>
    </xf>
    <xf numFmtId="0" fontId="60" fillId="43" borderId="30" xfId="51" applyNumberFormat="1" applyFont="1" applyFill="1" applyBorder="1" applyAlignment="1">
      <alignment horizontal="center" vertical="center"/>
    </xf>
    <xf numFmtId="0" fontId="77" fillId="0" borderId="0" xfId="51" applyFont="1" applyAlignment="1">
      <alignment horizontal="center" vertical="center"/>
    </xf>
    <xf numFmtId="0" fontId="60" fillId="0" borderId="30" xfId="51" applyFont="1" applyBorder="1" applyAlignment="1">
      <alignment horizontal="center" vertical="center"/>
    </xf>
    <xf numFmtId="0" fontId="74" fillId="0" borderId="30" xfId="51" applyFont="1" applyFill="1" applyBorder="1" applyAlignment="1">
      <alignment horizontal="center" vertical="center"/>
    </xf>
    <xf numFmtId="0" fontId="74" fillId="0" borderId="30" xfId="51" applyNumberFormat="1" applyFont="1" applyFill="1" applyBorder="1" applyAlignment="1">
      <alignment horizontal="center" vertical="center"/>
    </xf>
    <xf numFmtId="182" fontId="74" fillId="0" borderId="30" xfId="51" applyNumberFormat="1" applyFont="1" applyBorder="1" applyAlignment="1">
      <alignment vertical="center"/>
    </xf>
    <xf numFmtId="177" fontId="74" fillId="0" borderId="30" xfId="51" applyNumberFormat="1" applyFont="1" applyBorder="1" applyAlignment="1">
      <alignment vertical="center"/>
    </xf>
    <xf numFmtId="179" fontId="74" fillId="0" borderId="30" xfId="51" applyNumberFormat="1" applyFont="1" applyBorder="1" applyAlignment="1">
      <alignment vertical="center"/>
    </xf>
    <xf numFmtId="49" fontId="74" fillId="27" borderId="30" xfId="51" applyNumberFormat="1" applyFont="1" applyFill="1" applyBorder="1" applyAlignment="1" applyProtection="1">
      <alignment horizontal="left" vertical="center"/>
    </xf>
    <xf numFmtId="0" fontId="74" fillId="0" borderId="0" xfId="51" applyFont="1" applyAlignment="1">
      <alignment vertical="center"/>
    </xf>
    <xf numFmtId="0" fontId="74" fillId="0" borderId="30" xfId="30" applyNumberFormat="1" applyFont="1" applyFill="1" applyBorder="1" applyAlignment="1">
      <alignment horizontal="center" vertical="center"/>
    </xf>
    <xf numFmtId="0" fontId="60" fillId="44" borderId="39" xfId="51" applyFont="1" applyFill="1" applyBorder="1" applyAlignment="1">
      <alignment vertical="center"/>
    </xf>
    <xf numFmtId="0" fontId="60" fillId="44" borderId="40" xfId="51" applyFont="1" applyFill="1" applyBorder="1" applyAlignment="1">
      <alignment vertical="center"/>
    </xf>
    <xf numFmtId="0" fontId="74" fillId="44" borderId="30" xfId="51" applyFont="1" applyFill="1" applyBorder="1" applyAlignment="1">
      <alignment horizontal="center" vertical="center"/>
    </xf>
    <xf numFmtId="182" fontId="74" fillId="44" borderId="30" xfId="51" applyNumberFormat="1" applyFont="1" applyFill="1" applyBorder="1" applyAlignment="1">
      <alignment vertical="center"/>
    </xf>
    <xf numFmtId="177" fontId="74" fillId="44" borderId="30" xfId="51" applyNumberFormat="1" applyFont="1" applyFill="1" applyBorder="1" applyAlignment="1">
      <alignment vertical="center"/>
    </xf>
    <xf numFmtId="179" fontId="74" fillId="44" borderId="30" xfId="51" applyNumberFormat="1" applyFont="1" applyFill="1" applyBorder="1" applyAlignment="1">
      <alignment vertical="center"/>
    </xf>
    <xf numFmtId="0" fontId="74" fillId="0" borderId="41" xfId="51" applyNumberFormat="1" applyFont="1" applyFill="1" applyBorder="1" applyAlignment="1">
      <alignment horizontal="center" vertical="center"/>
    </xf>
    <xf numFmtId="0" fontId="74" fillId="0" borderId="0" xfId="51" applyFont="1" applyFill="1" applyAlignment="1">
      <alignment vertical="center"/>
    </xf>
    <xf numFmtId="0" fontId="60" fillId="0" borderId="0" xfId="51" applyFont="1" applyFill="1" applyAlignment="1">
      <alignment vertical="center"/>
    </xf>
    <xf numFmtId="0" fontId="74" fillId="0" borderId="41" xfId="30" applyNumberFormat="1" applyFont="1" applyFill="1" applyBorder="1" applyAlignment="1">
      <alignment horizontal="center" vertical="center"/>
    </xf>
    <xf numFmtId="0" fontId="60" fillId="0" borderId="0" xfId="51" applyFont="1" applyAlignment="1">
      <alignment vertical="center"/>
    </xf>
    <xf numFmtId="0" fontId="74" fillId="0" borderId="30" xfId="31" applyNumberFormat="1" applyFont="1" applyFill="1" applyBorder="1" applyAlignment="1">
      <alignment horizontal="center" vertical="center"/>
    </xf>
    <xf numFmtId="0" fontId="74" fillId="0" borderId="41" xfId="51" applyFont="1" applyFill="1" applyBorder="1" applyAlignment="1">
      <alignment horizontal="center" vertical="center"/>
    </xf>
    <xf numFmtId="0" fontId="77" fillId="0" borderId="0" xfId="51" applyFont="1" applyFill="1" applyAlignment="1">
      <alignment vertical="center"/>
    </xf>
    <xf numFmtId="0" fontId="60" fillId="43" borderId="39" xfId="51" applyFont="1" applyFill="1" applyBorder="1" applyAlignment="1">
      <alignment vertical="center"/>
    </xf>
    <xf numFmtId="0" fontId="60" fillId="43" borderId="40" xfId="51" applyFont="1" applyFill="1" applyBorder="1" applyAlignment="1">
      <alignment vertical="center"/>
    </xf>
    <xf numFmtId="182" fontId="74" fillId="43" borderId="30" xfId="51" applyNumberFormat="1" applyFont="1" applyFill="1" applyBorder="1" applyAlignment="1">
      <alignment horizontal="center" vertical="center"/>
    </xf>
    <xf numFmtId="182" fontId="77" fillId="43" borderId="30" xfId="51" applyNumberFormat="1" applyFont="1" applyFill="1" applyBorder="1" applyAlignment="1">
      <alignment vertical="center"/>
    </xf>
    <xf numFmtId="0" fontId="80" fillId="0" borderId="27" xfId="51" applyFont="1" applyBorder="1" applyAlignment="1">
      <alignment vertical="center"/>
    </xf>
    <xf numFmtId="0" fontId="80" fillId="0" borderId="28" xfId="51" applyFont="1" applyBorder="1" applyAlignment="1">
      <alignment vertical="center"/>
    </xf>
    <xf numFmtId="0" fontId="80" fillId="0" borderId="42" xfId="51" applyFont="1" applyBorder="1" applyAlignment="1">
      <alignment vertical="center"/>
    </xf>
    <xf numFmtId="0" fontId="80" fillId="0" borderId="43" xfId="51" applyFont="1" applyBorder="1" applyAlignment="1">
      <alignment vertical="center"/>
    </xf>
    <xf numFmtId="0" fontId="77" fillId="0" borderId="0" xfId="51" applyFont="1" applyFill="1" applyAlignment="1">
      <alignment horizontal="center" vertical="center"/>
    </xf>
    <xf numFmtId="0" fontId="77" fillId="0" borderId="0" xfId="51" applyNumberFormat="1" applyFont="1" applyAlignment="1">
      <alignment horizontal="center" vertical="center"/>
    </xf>
    <xf numFmtId="0" fontId="38" fillId="0" borderId="0" xfId="51" applyNumberFormat="1" applyAlignment="1">
      <alignment vertical="center"/>
    </xf>
    <xf numFmtId="191" fontId="77" fillId="0" borderId="0" xfId="51" applyNumberFormat="1" applyFont="1" applyAlignment="1">
      <alignment horizontal="right" vertical="center"/>
    </xf>
    <xf numFmtId="182" fontId="77" fillId="0" borderId="0" xfId="51" applyNumberFormat="1" applyFont="1" applyAlignment="1">
      <alignment vertical="center"/>
    </xf>
    <xf numFmtId="49" fontId="60" fillId="25" borderId="30" xfId="51" applyNumberFormat="1" applyFont="1" applyFill="1" applyBorder="1" applyAlignment="1">
      <alignment horizontal="center" vertical="center"/>
    </xf>
    <xf numFmtId="49" fontId="74" fillId="27" borderId="30" xfId="51" applyNumberFormat="1" applyFont="1" applyFill="1" applyBorder="1" applyAlignment="1">
      <alignment horizontal="left" vertical="center"/>
    </xf>
    <xf numFmtId="49" fontId="74" fillId="27" borderId="30" xfId="51" applyNumberFormat="1" applyFont="1" applyFill="1" applyBorder="1" applyAlignment="1" applyProtection="1">
      <alignment horizontal="left" vertical="center"/>
      <protection locked="0"/>
    </xf>
    <xf numFmtId="49" fontId="74" fillId="0" borderId="0" xfId="51" applyNumberFormat="1" applyFont="1" applyAlignment="1">
      <alignment horizontal="left" vertical="center"/>
    </xf>
    <xf numFmtId="49" fontId="74" fillId="0" borderId="30" xfId="51" applyNumberFormat="1" applyFont="1" applyBorder="1" applyAlignment="1">
      <alignment horizontal="left" vertical="center"/>
    </xf>
    <xf numFmtId="49" fontId="74" fillId="44" borderId="30" xfId="51" applyNumberFormat="1" applyFont="1" applyFill="1" applyBorder="1" applyAlignment="1">
      <alignment horizontal="left" vertical="center"/>
    </xf>
    <xf numFmtId="49" fontId="74" fillId="43" borderId="30" xfId="51" applyNumberFormat="1" applyFont="1" applyFill="1" applyBorder="1" applyAlignment="1">
      <alignment horizontal="left" vertical="center"/>
    </xf>
    <xf numFmtId="49" fontId="74" fillId="0" borderId="29" xfId="51" applyNumberFormat="1" applyFont="1" applyBorder="1" applyAlignment="1">
      <alignment horizontal="left" vertical="center"/>
    </xf>
    <xf numFmtId="49" fontId="74" fillId="0" borderId="26" xfId="51" applyNumberFormat="1" applyFont="1" applyBorder="1" applyAlignment="1">
      <alignment horizontal="left" vertical="center"/>
    </xf>
    <xf numFmtId="177" fontId="62" fillId="0" borderId="17" xfId="0" applyNumberFormat="1" applyFont="1" applyFill="1" applyBorder="1" applyAlignment="1" applyProtection="1">
      <alignment vertical="center"/>
    </xf>
    <xf numFmtId="0" fontId="62" fillId="0" borderId="18" xfId="30" applyFont="1" applyFill="1" applyBorder="1" applyAlignment="1">
      <alignment horizontal="center"/>
    </xf>
    <xf numFmtId="177" fontId="62" fillId="0" borderId="20" xfId="0" applyNumberFormat="1" applyFont="1" applyFill="1" applyBorder="1" applyAlignment="1" applyProtection="1">
      <alignment vertical="center"/>
    </xf>
    <xf numFmtId="0" fontId="62" fillId="0" borderId="10" xfId="30" applyFont="1" applyFill="1" applyBorder="1" applyAlignment="1">
      <alignment horizontal="center"/>
    </xf>
    <xf numFmtId="0" fontId="62" fillId="0" borderId="19" xfId="30" applyFont="1" applyFill="1" applyBorder="1" applyAlignment="1">
      <alignment horizontal="center"/>
    </xf>
    <xf numFmtId="0" fontId="61" fillId="24" borderId="13" xfId="0" applyFont="1" applyFill="1" applyBorder="1" applyAlignment="1">
      <alignment horizontal="center" vertical="center"/>
    </xf>
    <xf numFmtId="0" fontId="61" fillId="24" borderId="14" xfId="0" applyFont="1" applyFill="1" applyBorder="1" applyAlignment="1">
      <alignment horizontal="center" vertical="center"/>
    </xf>
    <xf numFmtId="0" fontId="61" fillId="24" borderId="15" xfId="0" applyFont="1" applyFill="1" applyBorder="1" applyAlignment="1">
      <alignment horizontal="center" vertical="center"/>
    </xf>
    <xf numFmtId="194" fontId="38" fillId="0" borderId="0" xfId="39" applyNumberFormat="1" applyFont="1" applyAlignment="1">
      <alignment horizontal="center" vertical="center"/>
    </xf>
    <xf numFmtId="194" fontId="0" fillId="0" borderId="0" xfId="39" applyNumberFormat="1" applyFont="1" applyAlignment="1">
      <alignment vertical="center"/>
    </xf>
    <xf numFmtId="194" fontId="0" fillId="0" borderId="0" xfId="0" applyNumberFormat="1" applyAlignment="1">
      <alignment vertical="center"/>
    </xf>
    <xf numFmtId="0" fontId="62" fillId="27" borderId="45" xfId="30" applyFont="1" applyFill="1" applyBorder="1" applyAlignment="1">
      <alignment horizontal="center" vertical="center"/>
    </xf>
    <xf numFmtId="0" fontId="74" fillId="0" borderId="30" xfId="30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77" fillId="0" borderId="38" xfId="51" applyFont="1" applyBorder="1" applyAlignment="1">
      <alignment horizontal="left" vertical="center"/>
    </xf>
    <xf numFmtId="191" fontId="78" fillId="0" borderId="38" xfId="51" applyNumberFormat="1" applyFont="1" applyBorder="1" applyAlignment="1">
      <alignment horizontal="left" vertical="center"/>
    </xf>
    <xf numFmtId="0" fontId="62" fillId="27" borderId="21" xfId="30" applyFont="1" applyFill="1" applyBorder="1" applyAlignment="1">
      <alignment horizontal="center" vertical="center"/>
    </xf>
    <xf numFmtId="189" fontId="38" fillId="0" borderId="0" xfId="0" applyNumberFormat="1" applyFont="1" applyAlignment="1">
      <alignment vertical="center"/>
    </xf>
    <xf numFmtId="0" fontId="60" fillId="0" borderId="39" xfId="51" applyFont="1" applyBorder="1" applyAlignment="1">
      <alignment horizontal="center" vertical="center"/>
    </xf>
    <xf numFmtId="179" fontId="74" fillId="43" borderId="30" xfId="51" applyNumberFormat="1" applyFont="1" applyFill="1" applyBorder="1" applyAlignment="1">
      <alignment vertical="center"/>
    </xf>
    <xf numFmtId="0" fontId="74" fillId="44" borderId="0" xfId="51" applyFont="1" applyFill="1" applyAlignment="1">
      <alignment vertical="center"/>
    </xf>
    <xf numFmtId="0" fontId="0" fillId="0" borderId="0" xfId="19" applyNumberFormat="1" applyFont="1" applyAlignment="1">
      <alignment vertical="center"/>
    </xf>
    <xf numFmtId="0" fontId="60" fillId="25" borderId="30" xfId="51" applyNumberFormat="1" applyFont="1" applyFill="1" applyBorder="1" applyAlignment="1">
      <alignment horizontal="center" vertical="center" wrapText="1"/>
    </xf>
    <xf numFmtId="191" fontId="38" fillId="0" borderId="0" xfId="19" applyNumberFormat="1" applyAlignment="1">
      <alignment vertical="center"/>
    </xf>
    <xf numFmtId="191" fontId="38" fillId="0" borderId="0" xfId="51" applyNumberFormat="1" applyAlignment="1">
      <alignment vertical="center"/>
    </xf>
    <xf numFmtId="177" fontId="38" fillId="0" borderId="0" xfId="0" applyNumberFormat="1" applyFont="1" applyBorder="1" applyAlignment="1">
      <alignment vertical="center"/>
    </xf>
    <xf numFmtId="177" fontId="65" fillId="0" borderId="0" xfId="0" applyNumberFormat="1" applyFont="1" applyAlignment="1">
      <alignment vertical="center"/>
    </xf>
    <xf numFmtId="0" fontId="61" fillId="27" borderId="23" xfId="0" applyFont="1" applyFill="1" applyBorder="1" applyAlignment="1">
      <alignment vertical="center"/>
    </xf>
    <xf numFmtId="0" fontId="74" fillId="0" borderId="30" xfId="51" applyNumberFormat="1" applyFont="1" applyFill="1" applyBorder="1" applyAlignment="1">
      <alignment vertical="center"/>
    </xf>
    <xf numFmtId="0" fontId="62" fillId="27" borderId="33" xfId="30" applyFont="1" applyFill="1" applyBorder="1" applyAlignment="1">
      <alignment vertical="center"/>
    </xf>
    <xf numFmtId="0" fontId="62" fillId="27" borderId="19" xfId="30" applyFont="1" applyFill="1" applyBorder="1" applyAlignment="1">
      <alignment vertical="center"/>
    </xf>
    <xf numFmtId="0" fontId="62" fillId="0" borderId="45" xfId="30" applyFont="1" applyFill="1" applyBorder="1" applyAlignment="1">
      <alignment horizontal="center" vertical="center"/>
    </xf>
    <xf numFmtId="0" fontId="62" fillId="0" borderId="21" xfId="30" applyFont="1" applyFill="1" applyBorder="1" applyAlignment="1">
      <alignment horizontal="center" vertical="center"/>
    </xf>
    <xf numFmtId="0" fontId="71" fillId="29" borderId="13" xfId="0" applyFont="1" applyFill="1" applyBorder="1" applyAlignment="1">
      <alignment horizontal="left" vertical="center"/>
    </xf>
    <xf numFmtId="0" fontId="72" fillId="29" borderId="14" xfId="0" applyFont="1" applyFill="1" applyBorder="1" applyAlignment="1">
      <alignment horizontal="left" vertical="center"/>
    </xf>
    <xf numFmtId="0" fontId="72" fillId="29" borderId="15" xfId="0" applyFont="1" applyFill="1" applyBorder="1" applyAlignment="1">
      <alignment horizontal="left" vertical="center"/>
    </xf>
    <xf numFmtId="0" fontId="71" fillId="33" borderId="13" xfId="0" applyFont="1" applyFill="1" applyBorder="1" applyAlignment="1">
      <alignment horizontal="left" vertical="center"/>
    </xf>
    <xf numFmtId="0" fontId="71" fillId="33" borderId="14" xfId="0" applyFont="1" applyFill="1" applyBorder="1" applyAlignment="1">
      <alignment horizontal="left" vertical="center"/>
    </xf>
    <xf numFmtId="0" fontId="71" fillId="33" borderId="15" xfId="0" applyFont="1" applyFill="1" applyBorder="1" applyAlignment="1">
      <alignment horizontal="left" vertical="center"/>
    </xf>
    <xf numFmtId="0" fontId="62" fillId="35" borderId="10" xfId="0" applyFont="1" applyFill="1" applyBorder="1" applyAlignment="1">
      <alignment horizontal="center" vertical="center"/>
    </xf>
    <xf numFmtId="0" fontId="62" fillId="35" borderId="17" xfId="0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183" fontId="62" fillId="36" borderId="23" xfId="0" applyNumberFormat="1" applyFont="1" applyFill="1" applyBorder="1" applyAlignment="1">
      <alignment horizontal="center" vertical="center"/>
    </xf>
    <xf numFmtId="183" fontId="62" fillId="36" borderId="37" xfId="0" applyNumberFormat="1" applyFont="1" applyFill="1" applyBorder="1" applyAlignment="1">
      <alignment horizontal="center" vertical="center"/>
    </xf>
    <xf numFmtId="183" fontId="62" fillId="36" borderId="25" xfId="0" applyNumberFormat="1" applyFont="1" applyFill="1" applyBorder="1" applyAlignment="1">
      <alignment horizontal="center" vertical="center"/>
    </xf>
    <xf numFmtId="184" fontId="62" fillId="36" borderId="35" xfId="0" applyNumberFormat="1" applyFont="1" applyFill="1" applyBorder="1" applyAlignment="1">
      <alignment horizontal="center" vertical="center"/>
    </xf>
    <xf numFmtId="184" fontId="62" fillId="36" borderId="36" xfId="0" applyNumberFormat="1" applyFont="1" applyFill="1" applyBorder="1" applyAlignment="1">
      <alignment horizontal="center" vertical="center"/>
    </xf>
    <xf numFmtId="0" fontId="62" fillId="36" borderId="35" xfId="0" applyFont="1" applyFill="1" applyBorder="1" applyAlignment="1">
      <alignment horizontal="center" vertical="center" wrapText="1"/>
    </xf>
    <xf numFmtId="0" fontId="62" fillId="36" borderId="28" xfId="0" applyFont="1" applyFill="1" applyBorder="1" applyAlignment="1">
      <alignment horizontal="center" vertical="center"/>
    </xf>
    <xf numFmtId="0" fontId="62" fillId="36" borderId="29" xfId="0" applyFont="1" applyFill="1" applyBorder="1" applyAlignment="1">
      <alignment horizontal="center" vertical="center"/>
    </xf>
    <xf numFmtId="0" fontId="71" fillId="32" borderId="27" xfId="0" applyFont="1" applyFill="1" applyBorder="1" applyAlignment="1">
      <alignment horizontal="left" vertical="center"/>
    </xf>
    <xf numFmtId="0" fontId="71" fillId="32" borderId="28" xfId="0" applyFont="1" applyFill="1" applyBorder="1" applyAlignment="1">
      <alignment horizontal="left" vertical="center"/>
    </xf>
    <xf numFmtId="0" fontId="71" fillId="32" borderId="29" xfId="0" applyFont="1" applyFill="1" applyBorder="1" applyAlignment="1">
      <alignment horizontal="left" vertical="center"/>
    </xf>
    <xf numFmtId="0" fontId="71" fillId="32" borderId="27" xfId="30" applyFont="1" applyFill="1" applyBorder="1" applyAlignment="1">
      <alignment horizontal="left" vertical="center"/>
    </xf>
    <xf numFmtId="0" fontId="71" fillId="32" borderId="28" xfId="30" applyFont="1" applyFill="1" applyBorder="1" applyAlignment="1">
      <alignment horizontal="left" vertical="center"/>
    </xf>
    <xf numFmtId="0" fontId="71" fillId="32" borderId="29" xfId="30" applyFont="1" applyFill="1" applyBorder="1" applyAlignment="1">
      <alignment horizontal="left" vertical="center"/>
    </xf>
    <xf numFmtId="0" fontId="71" fillId="28" borderId="27" xfId="30" applyFont="1" applyFill="1" applyBorder="1" applyAlignment="1">
      <alignment horizontal="left" vertical="center"/>
    </xf>
    <xf numFmtId="0" fontId="71" fillId="28" borderId="28" xfId="30" applyFont="1" applyFill="1" applyBorder="1" applyAlignment="1">
      <alignment horizontal="left" vertical="center"/>
    </xf>
    <xf numFmtId="0" fontId="71" fillId="28" borderId="29" xfId="30" applyFont="1" applyFill="1" applyBorder="1" applyAlignment="1">
      <alignment horizontal="left" vertical="center"/>
    </xf>
    <xf numFmtId="0" fontId="67" fillId="28" borderId="27" xfId="30" applyFont="1" applyFill="1" applyBorder="1" applyAlignment="1">
      <alignment horizontal="left" vertical="center"/>
    </xf>
    <xf numFmtId="0" fontId="59" fillId="28" borderId="28" xfId="30" applyFont="1" applyFill="1" applyBorder="1" applyAlignment="1">
      <alignment horizontal="left" vertical="center"/>
    </xf>
    <xf numFmtId="0" fontId="59" fillId="28" borderId="29" xfId="30" applyFont="1" applyFill="1" applyBorder="1" applyAlignment="1">
      <alignment horizontal="left" vertical="center"/>
    </xf>
    <xf numFmtId="0" fontId="71" fillId="28" borderId="11" xfId="30" applyFont="1" applyFill="1" applyBorder="1" applyAlignment="1">
      <alignment horizontal="left" vertical="center"/>
    </xf>
    <xf numFmtId="0" fontId="71" fillId="28" borderId="12" xfId="30" applyFont="1" applyFill="1" applyBorder="1" applyAlignment="1">
      <alignment horizontal="left" vertical="center"/>
    </xf>
    <xf numFmtId="0" fontId="71" fillId="28" borderId="31" xfId="30" applyFont="1" applyFill="1" applyBorder="1" applyAlignment="1">
      <alignment horizontal="left" vertical="center"/>
    </xf>
    <xf numFmtId="0" fontId="67" fillId="28" borderId="27" xfId="0" applyFont="1" applyFill="1" applyBorder="1" applyAlignment="1">
      <alignment horizontal="left" vertical="center"/>
    </xf>
    <xf numFmtId="0" fontId="67" fillId="28" borderId="28" xfId="0" applyFont="1" applyFill="1" applyBorder="1" applyAlignment="1">
      <alignment horizontal="left" vertical="center"/>
    </xf>
    <xf numFmtId="0" fontId="67" fillId="28" borderId="29" xfId="0" applyFont="1" applyFill="1" applyBorder="1" applyAlignment="1">
      <alignment horizontal="left" vertical="center"/>
    </xf>
    <xf numFmtId="0" fontId="67" fillId="28" borderId="13" xfId="0" applyFont="1" applyFill="1" applyBorder="1" applyAlignment="1">
      <alignment horizontal="left" vertical="center"/>
    </xf>
    <xf numFmtId="0" fontId="68" fillId="28" borderId="14" xfId="0" applyFont="1" applyFill="1" applyBorder="1" applyAlignment="1">
      <alignment horizontal="left" vertical="center"/>
    </xf>
    <xf numFmtId="0" fontId="68" fillId="28" borderId="15" xfId="0" applyFont="1" applyFill="1" applyBorder="1" applyAlignment="1">
      <alignment horizontal="left" vertical="center"/>
    </xf>
    <xf numFmtId="0" fontId="67" fillId="28" borderId="14" xfId="0" applyFont="1" applyFill="1" applyBorder="1" applyAlignment="1">
      <alignment horizontal="left" vertical="center"/>
    </xf>
    <xf numFmtId="0" fontId="67" fillId="28" borderId="15" xfId="0" applyFont="1" applyFill="1" applyBorder="1" applyAlignment="1">
      <alignment horizontal="left" vertical="center"/>
    </xf>
    <xf numFmtId="0" fontId="67" fillId="28" borderId="39" xfId="0" applyFont="1" applyFill="1" applyBorder="1" applyAlignment="1">
      <alignment horizontal="left" vertical="center"/>
    </xf>
    <xf numFmtId="0" fontId="67" fillId="28" borderId="40" xfId="0" applyFont="1" applyFill="1" applyBorder="1" applyAlignment="1">
      <alignment horizontal="left" vertical="center"/>
    </xf>
    <xf numFmtId="0" fontId="67" fillId="28" borderId="44" xfId="0" applyFont="1" applyFill="1" applyBorder="1" applyAlignment="1">
      <alignment horizontal="left" vertical="center"/>
    </xf>
  </cellXfs>
  <cellStyles count="329">
    <cellStyle name="20% - 强调文字颜色 1 2" xfId="163"/>
    <cellStyle name="20% - 强调文字颜色 2 2" xfId="164"/>
    <cellStyle name="20% - 强调文字颜色 3 2" xfId="165"/>
    <cellStyle name="20% - 强调文字颜色 4 2" xfId="166"/>
    <cellStyle name="20% - 强调文字颜色 5 2" xfId="167"/>
    <cellStyle name="20% - 强调文字颜色 6 2" xfId="168"/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强调文字颜色 1 2" xfId="169"/>
    <cellStyle name="40% - 强调文字颜色 2 2" xfId="170"/>
    <cellStyle name="40% - 强调文字颜色 3 2" xfId="171"/>
    <cellStyle name="40% - 强调文字颜色 4 2" xfId="172"/>
    <cellStyle name="40% - 强调文字颜色 5 2" xfId="173"/>
    <cellStyle name="40% - 强调文字颜色 6 2" xfId="174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强调文字颜色 1 2" xfId="175"/>
    <cellStyle name="60% - 强调文字颜色 2 2" xfId="176"/>
    <cellStyle name="60% - 强调文字颜色 3 2" xfId="177"/>
    <cellStyle name="60% - 强调文字颜色 4 2" xfId="178"/>
    <cellStyle name="60% - 强调文字颜色 5 2" xfId="179"/>
    <cellStyle name="60% - 强调文字颜色 6 2" xfId="180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百分比" xfId="19" builtinId="5"/>
    <cellStyle name="百分比 2" xfId="181"/>
    <cellStyle name="标题" xfId="20" builtinId="15" customBuiltin="1"/>
    <cellStyle name="标题 1" xfId="21" builtinId="16" customBuiltin="1"/>
    <cellStyle name="标题 1 2" xfId="183"/>
    <cellStyle name="标题 2" xfId="22" builtinId="17" customBuiltin="1"/>
    <cellStyle name="标题 2 2" xfId="184"/>
    <cellStyle name="标题 3" xfId="23" builtinId="18" customBuiltin="1"/>
    <cellStyle name="标题 3 2" xfId="185"/>
    <cellStyle name="标题 4" xfId="24" builtinId="19" customBuiltin="1"/>
    <cellStyle name="标题 4 2" xfId="186"/>
    <cellStyle name="标题 5" xfId="182"/>
    <cellStyle name="差" xfId="25" builtinId="27" customBuiltin="1"/>
    <cellStyle name="差 2" xfId="187"/>
    <cellStyle name="常规" xfId="0" builtinId="0"/>
    <cellStyle name="常规 10" xfId="55"/>
    <cellStyle name="常规 10 2" xfId="209"/>
    <cellStyle name="常规 100" xfId="144"/>
    <cellStyle name="常规 100 2" xfId="298"/>
    <cellStyle name="常规 101" xfId="145"/>
    <cellStyle name="常规 101 2" xfId="299"/>
    <cellStyle name="常规 102" xfId="146"/>
    <cellStyle name="常规 102 2" xfId="300"/>
    <cellStyle name="常规 103" xfId="147"/>
    <cellStyle name="常规 103 2" xfId="301"/>
    <cellStyle name="常规 104" xfId="148"/>
    <cellStyle name="常规 104 2" xfId="302"/>
    <cellStyle name="常规 105" xfId="149"/>
    <cellStyle name="常规 105 2" xfId="303"/>
    <cellStyle name="常规 106" xfId="152"/>
    <cellStyle name="常规 106 2" xfId="304"/>
    <cellStyle name="常规 107" xfId="153"/>
    <cellStyle name="常规 107 2" xfId="305"/>
    <cellStyle name="常规 108" xfId="154"/>
    <cellStyle name="常规 108 2" xfId="306"/>
    <cellStyle name="常规 109" xfId="155"/>
    <cellStyle name="常规 109 2" xfId="307"/>
    <cellStyle name="常规 11" xfId="51"/>
    <cellStyle name="常规 110" xfId="156"/>
    <cellStyle name="常规 110 2" xfId="308"/>
    <cellStyle name="常规 111" xfId="157"/>
    <cellStyle name="常规 111 2" xfId="309"/>
    <cellStyle name="常规 112" xfId="158"/>
    <cellStyle name="常规 112 2" xfId="310"/>
    <cellStyle name="常规 113" xfId="159"/>
    <cellStyle name="常规 113 2" xfId="311"/>
    <cellStyle name="常规 114" xfId="160"/>
    <cellStyle name="常规 114 2" xfId="312"/>
    <cellStyle name="常规 115" xfId="162"/>
    <cellStyle name="常规 116" xfId="161"/>
    <cellStyle name="常规 12" xfId="52"/>
    <cellStyle name="常规 13" xfId="56"/>
    <cellStyle name="常规 13 2" xfId="210"/>
    <cellStyle name="常规 14" xfId="57"/>
    <cellStyle name="常规 14 2" xfId="211"/>
    <cellStyle name="常规 149" xfId="319"/>
    <cellStyle name="常规 15" xfId="58"/>
    <cellStyle name="常规 15 2" xfId="212"/>
    <cellStyle name="常规 16" xfId="59"/>
    <cellStyle name="常规 16 2" xfId="213"/>
    <cellStyle name="常规 17" xfId="60"/>
    <cellStyle name="常规 17 2" xfId="214"/>
    <cellStyle name="常规 18" xfId="96"/>
    <cellStyle name="常规 18 2" xfId="250"/>
    <cellStyle name="常规 19" xfId="61"/>
    <cellStyle name="常规 19 2" xfId="215"/>
    <cellStyle name="常规 193" xfId="324"/>
    <cellStyle name="常规 197" xfId="323"/>
    <cellStyle name="常规 198" xfId="325"/>
    <cellStyle name="常规 199" xfId="326"/>
    <cellStyle name="常规 2" xfId="26"/>
    <cellStyle name="常规 2 2" xfId="150"/>
    <cellStyle name="常规 20" xfId="62"/>
    <cellStyle name="常规 20 2" xfId="216"/>
    <cellStyle name="常规 200" xfId="327"/>
    <cellStyle name="常规 204" xfId="314"/>
    <cellStyle name="常规 206" xfId="315"/>
    <cellStyle name="常规 207" xfId="321"/>
    <cellStyle name="常规 209" xfId="317"/>
    <cellStyle name="常规 21" xfId="63"/>
    <cellStyle name="常规 21 2" xfId="217"/>
    <cellStyle name="常规 210" xfId="322"/>
    <cellStyle name="常规 211" xfId="318"/>
    <cellStyle name="常规 212" xfId="320"/>
    <cellStyle name="常规 213" xfId="316"/>
    <cellStyle name="常规 214" xfId="313"/>
    <cellStyle name="常规 22" xfId="64"/>
    <cellStyle name="常规 22 2" xfId="218"/>
    <cellStyle name="常规 23" xfId="65"/>
    <cellStyle name="常规 23 2" xfId="219"/>
    <cellStyle name="常规 24" xfId="66"/>
    <cellStyle name="常规 24 2" xfId="220"/>
    <cellStyle name="常规 25" xfId="67"/>
    <cellStyle name="常规 25 2" xfId="221"/>
    <cellStyle name="常规 26" xfId="68"/>
    <cellStyle name="常规 26 2" xfId="222"/>
    <cellStyle name="常规 27" xfId="69"/>
    <cellStyle name="常规 27 2" xfId="223"/>
    <cellStyle name="常规 28" xfId="70"/>
    <cellStyle name="常规 28 2" xfId="224"/>
    <cellStyle name="常规 29" xfId="71"/>
    <cellStyle name="常规 29 2" xfId="225"/>
    <cellStyle name="常规 3" xfId="27"/>
    <cellStyle name="常规 30" xfId="72"/>
    <cellStyle name="常规 30 2" xfId="226"/>
    <cellStyle name="常规 31" xfId="73"/>
    <cellStyle name="常规 31 2" xfId="227"/>
    <cellStyle name="常规 32" xfId="74"/>
    <cellStyle name="常规 32 2" xfId="228"/>
    <cellStyle name="常规 33" xfId="75"/>
    <cellStyle name="常规 33 2" xfId="229"/>
    <cellStyle name="常规 34" xfId="76"/>
    <cellStyle name="常规 34 2" xfId="230"/>
    <cellStyle name="常规 35" xfId="77"/>
    <cellStyle name="常规 35 2" xfId="231"/>
    <cellStyle name="常规 36" xfId="78"/>
    <cellStyle name="常规 36 2" xfId="232"/>
    <cellStyle name="常规 37" xfId="79"/>
    <cellStyle name="常规 37 2" xfId="233"/>
    <cellStyle name="常规 38" xfId="80"/>
    <cellStyle name="常规 38 2" xfId="234"/>
    <cellStyle name="常规 39" xfId="81"/>
    <cellStyle name="常规 39 2" xfId="235"/>
    <cellStyle name="常规 4" xfId="28"/>
    <cellStyle name="常规 40" xfId="82"/>
    <cellStyle name="常规 40 2" xfId="236"/>
    <cellStyle name="常规 41" xfId="83"/>
    <cellStyle name="常规 41 2" xfId="237"/>
    <cellStyle name="常规 42" xfId="84"/>
    <cellStyle name="常规 42 2" xfId="238"/>
    <cellStyle name="常规 43" xfId="85"/>
    <cellStyle name="常规 43 2" xfId="239"/>
    <cellStyle name="常规 44" xfId="86"/>
    <cellStyle name="常规 44 2" xfId="240"/>
    <cellStyle name="常规 45" xfId="87"/>
    <cellStyle name="常规 45 2" xfId="241"/>
    <cellStyle name="常规 46" xfId="88"/>
    <cellStyle name="常规 46 2" xfId="242"/>
    <cellStyle name="常规 47" xfId="89"/>
    <cellStyle name="常规 47 2" xfId="243"/>
    <cellStyle name="常规 48" xfId="90"/>
    <cellStyle name="常规 48 2" xfId="244"/>
    <cellStyle name="常规 49" xfId="91"/>
    <cellStyle name="常规 49 2" xfId="245"/>
    <cellStyle name="常规 5" xfId="29"/>
    <cellStyle name="常规 50" xfId="92"/>
    <cellStyle name="常规 50 2" xfId="246"/>
    <cellStyle name="常规 51" xfId="93"/>
    <cellStyle name="常规 51 2" xfId="247"/>
    <cellStyle name="常规 52" xfId="94"/>
    <cellStyle name="常规 52 2" xfId="248"/>
    <cellStyle name="常规 53" xfId="95"/>
    <cellStyle name="常规 53 2" xfId="249"/>
    <cellStyle name="常规 54" xfId="97"/>
    <cellStyle name="常规 54 2" xfId="251"/>
    <cellStyle name="常规 55" xfId="98"/>
    <cellStyle name="常规 55 2" xfId="252"/>
    <cellStyle name="常规 56" xfId="99"/>
    <cellStyle name="常规 56 2" xfId="253"/>
    <cellStyle name="常规 57" xfId="100"/>
    <cellStyle name="常规 57 2" xfId="254"/>
    <cellStyle name="常规 58" xfId="101"/>
    <cellStyle name="常规 58 2" xfId="255"/>
    <cellStyle name="常规 59" xfId="103"/>
    <cellStyle name="常规 59 2" xfId="257"/>
    <cellStyle name="常规 6" xfId="102"/>
    <cellStyle name="常规 6 2" xfId="256"/>
    <cellStyle name="常规 60" xfId="104"/>
    <cellStyle name="常规 60 2" xfId="258"/>
    <cellStyle name="常规 61" xfId="105"/>
    <cellStyle name="常规 61 2" xfId="259"/>
    <cellStyle name="常规 62" xfId="106"/>
    <cellStyle name="常规 62 2" xfId="260"/>
    <cellStyle name="常规 63" xfId="107"/>
    <cellStyle name="常规 63 2" xfId="261"/>
    <cellStyle name="常规 64" xfId="108"/>
    <cellStyle name="常规 64 2" xfId="262"/>
    <cellStyle name="常规 65" xfId="109"/>
    <cellStyle name="常规 65 2" xfId="263"/>
    <cellStyle name="常规 66" xfId="110"/>
    <cellStyle name="常规 66 2" xfId="264"/>
    <cellStyle name="常规 67" xfId="111"/>
    <cellStyle name="常规 67 2" xfId="265"/>
    <cellStyle name="常规 68" xfId="112"/>
    <cellStyle name="常规 68 2" xfId="266"/>
    <cellStyle name="常规 69" xfId="131"/>
    <cellStyle name="常规 69 2" xfId="285"/>
    <cellStyle name="常规 7" xfId="50"/>
    <cellStyle name="常规 70" xfId="113"/>
    <cellStyle name="常规 70 2" xfId="267"/>
    <cellStyle name="常规 71" xfId="114"/>
    <cellStyle name="常规 71 2" xfId="268"/>
    <cellStyle name="常规 72" xfId="115"/>
    <cellStyle name="常规 72 2" xfId="269"/>
    <cellStyle name="常规 73" xfId="116"/>
    <cellStyle name="常规 73 2" xfId="270"/>
    <cellStyle name="常规 74" xfId="117"/>
    <cellStyle name="常规 74 2" xfId="271"/>
    <cellStyle name="常规 75" xfId="118"/>
    <cellStyle name="常规 75 2" xfId="272"/>
    <cellStyle name="常规 76" xfId="119"/>
    <cellStyle name="常规 76 2" xfId="273"/>
    <cellStyle name="常规 77" xfId="120"/>
    <cellStyle name="常规 77 2" xfId="274"/>
    <cellStyle name="常规 78" xfId="121"/>
    <cellStyle name="常规 78 2" xfId="275"/>
    <cellStyle name="常规 79" xfId="122"/>
    <cellStyle name="常规 79 2" xfId="276"/>
    <cellStyle name="常规 8" xfId="53"/>
    <cellStyle name="常规 8 2" xfId="207"/>
    <cellStyle name="常规 80" xfId="123"/>
    <cellStyle name="常规 80 2" xfId="277"/>
    <cellStyle name="常规 81" xfId="124"/>
    <cellStyle name="常规 81 2" xfId="278"/>
    <cellStyle name="常规 82" xfId="125"/>
    <cellStyle name="常规 82 2" xfId="279"/>
    <cellStyle name="常规 83" xfId="126"/>
    <cellStyle name="常规 83 2" xfId="280"/>
    <cellStyle name="常规 84" xfId="127"/>
    <cellStyle name="常规 84 2" xfId="281"/>
    <cellStyle name="常规 85" xfId="128"/>
    <cellStyle name="常规 85 2" xfId="282"/>
    <cellStyle name="常规 86" xfId="129"/>
    <cellStyle name="常规 86 2" xfId="283"/>
    <cellStyle name="常规 87" xfId="130"/>
    <cellStyle name="常规 87 2" xfId="284"/>
    <cellStyle name="常规 88" xfId="132"/>
    <cellStyle name="常规 88 2" xfId="286"/>
    <cellStyle name="常规 89" xfId="133"/>
    <cellStyle name="常规 89 2" xfId="287"/>
    <cellStyle name="常规 9" xfId="54"/>
    <cellStyle name="常规 9 2" xfId="208"/>
    <cellStyle name="常规 90" xfId="134"/>
    <cellStyle name="常规 90 2" xfId="288"/>
    <cellStyle name="常规 91" xfId="135"/>
    <cellStyle name="常规 91 2" xfId="289"/>
    <cellStyle name="常规 92" xfId="136"/>
    <cellStyle name="常规 92 2" xfId="290"/>
    <cellStyle name="常规 93" xfId="137"/>
    <cellStyle name="常规 93 2" xfId="291"/>
    <cellStyle name="常规 94" xfId="138"/>
    <cellStyle name="常规 94 2" xfId="292"/>
    <cellStyle name="常规 95" xfId="139"/>
    <cellStyle name="常规 95 2" xfId="293"/>
    <cellStyle name="常规 96" xfId="140"/>
    <cellStyle name="常规 96 2" xfId="294"/>
    <cellStyle name="常规 97" xfId="141"/>
    <cellStyle name="常规 97 2" xfId="295"/>
    <cellStyle name="常规 98" xfId="142"/>
    <cellStyle name="常规 98 2" xfId="296"/>
    <cellStyle name="常规 99" xfId="143"/>
    <cellStyle name="常规 99 2" xfId="297"/>
    <cellStyle name="常规_Sheet1" xfId="30"/>
    <cellStyle name="常规_Sheet1_1" xfId="31"/>
    <cellStyle name="超链接 2" xfId="328"/>
    <cellStyle name="好" xfId="32" builtinId="26" customBuiltin="1"/>
    <cellStyle name="好 2" xfId="188"/>
    <cellStyle name="汇总" xfId="33" builtinId="25" customBuiltin="1"/>
    <cellStyle name="汇总 2" xfId="189"/>
    <cellStyle name="货币 2" xfId="190"/>
    <cellStyle name="计算" xfId="34" builtinId="22" customBuiltin="1"/>
    <cellStyle name="计算 2" xfId="191"/>
    <cellStyle name="检查单元格" xfId="35" builtinId="23" customBuiltin="1"/>
    <cellStyle name="检查单元格 2" xfId="192"/>
    <cellStyle name="解释性文本" xfId="36" builtinId="53" customBuiltin="1"/>
    <cellStyle name="解释性文本 2" xfId="193"/>
    <cellStyle name="警告文本" xfId="37" builtinId="11" customBuiltin="1"/>
    <cellStyle name="警告文本 2" xfId="194"/>
    <cellStyle name="链接单元格" xfId="38" builtinId="24" customBuiltin="1"/>
    <cellStyle name="链接单元格 2" xfId="195"/>
    <cellStyle name="千位分隔" xfId="39" builtinId="3"/>
    <cellStyle name="千位分隔 2" xfId="151"/>
    <cellStyle name="千位分隔 3" xfId="196"/>
    <cellStyle name="强调文字颜色 1 2" xfId="197"/>
    <cellStyle name="强调文字颜色 2 2" xfId="198"/>
    <cellStyle name="强调文字颜色 3 2" xfId="199"/>
    <cellStyle name="强调文字颜色 4 2" xfId="200"/>
    <cellStyle name="强调文字颜色 5 2" xfId="201"/>
    <cellStyle name="强调文字颜色 6 2" xfId="202"/>
    <cellStyle name="适中" xfId="46" builtinId="28" customBuiltin="1"/>
    <cellStyle name="适中 2" xfId="203"/>
    <cellStyle name="输出" xfId="47" builtinId="21" customBuiltin="1"/>
    <cellStyle name="输出 2" xfId="204"/>
    <cellStyle name="输入" xfId="48" builtinId="20" customBuiltin="1"/>
    <cellStyle name="输入 2" xfId="205"/>
    <cellStyle name="着色 1" xfId="40" builtinId="29" customBuiltin="1"/>
    <cellStyle name="着色 2" xfId="41" builtinId="33" customBuiltin="1"/>
    <cellStyle name="着色 3" xfId="42" builtinId="37" customBuiltin="1"/>
    <cellStyle name="着色 4" xfId="43" builtinId="41" customBuiltin="1"/>
    <cellStyle name="着色 5" xfId="44" builtinId="45" customBuiltin="1"/>
    <cellStyle name="着色 6" xfId="45" builtinId="49" customBuiltin="1"/>
    <cellStyle name="注释" xfId="49" builtinId="10" customBuiltin="1"/>
    <cellStyle name="注释 2" xfId="206"/>
  </cellStyles>
  <dxfs count="0"/>
  <tableStyles count="0" defaultTableStyle="TableStyleMedium9" defaultPivotStyle="PivotStyleLight16"/>
  <colors>
    <mruColors>
      <color rgb="FF00B050"/>
      <color rgb="FFFFB805"/>
      <color rgb="FFFFFFFF"/>
      <color rgb="FFCCFFFF"/>
      <color rgb="FFEAEAEA"/>
      <color rgb="FF00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2015</a:t>
            </a:r>
            <a:r>
              <a:rPr lang="zh-CN" altLang="en-US"/>
              <a:t>年度月销售变化情况（万元）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65106245280984"/>
          <c:y val="0.21751987162745998"/>
          <c:w val="0.80065832524360003"/>
          <c:h val="0.480494085158790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其他!$C$32</c:f>
              <c:strCache>
                <c:ptCount val="1"/>
                <c:pt idx="0">
                  <c:v>销售额（万元）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2.004000619488292E-17"/>
                  <c:y val="1.76719173752053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8.7834817591033766E-3"/>
                  <c:y val="-2.38744823563721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1.3121926808578641E-2"/>
                  <c:y val="2.35814350974381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3668122270742364E-3"/>
                  <c:y val="-5.33333333333345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4.3724154979062329E-3"/>
                  <c:y val="-2.35625565002738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8.0160024779534825E-17"/>
                  <c:y val="2.9453195625342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"/>
                  <c:y val="-1.76719173752054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4.3724154979062329E-3"/>
                  <c:y val="-3.5343834750410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"/>
                  <c:y val="-5.3015752125616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其他!$B$33:$B$44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其他!$C$33:$C$44</c:f>
              <c:numCache>
                <c:formatCode>#,##0.0</c:formatCode>
                <c:ptCount val="12"/>
                <c:pt idx="0">
                  <c:v>29395.643208399986</c:v>
                </c:pt>
                <c:pt idx="1">
                  <c:v>25477.479557000013</c:v>
                </c:pt>
                <c:pt idx="2">
                  <c:v>5723.884641000006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46547008"/>
        <c:axId val="146904656"/>
      </c:barChart>
      <c:catAx>
        <c:axId val="14654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6904656"/>
        <c:crosses val="autoZero"/>
        <c:auto val="1"/>
        <c:lblAlgn val="ctr"/>
        <c:lblOffset val="100"/>
        <c:noMultiLvlLbl val="0"/>
      </c:catAx>
      <c:valAx>
        <c:axId val="1469046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 w="9525">
            <a:noFill/>
          </a:ln>
        </c:spPr>
        <c:crossAx val="1465470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/>
              <a:t>各业态销售情况对比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33303209963344"/>
          <c:y val="0.15945977886914744"/>
          <c:w val="0.81724272188530656"/>
          <c:h val="0.62601026672461935"/>
        </c:manualLayout>
      </c:layout>
      <c:barChart>
        <c:barDir val="col"/>
        <c:grouping val="clustered"/>
        <c:varyColors val="0"/>
        <c:ser>
          <c:idx val="0"/>
          <c:order val="0"/>
          <c:tx>
            <c:v>销售额</c:v>
          </c:tx>
          <c:invertIfNegative val="0"/>
          <c:cat>
            <c:strRef>
              <c:f>其他!$B$22:$B$28</c:f>
              <c:strCache>
                <c:ptCount val="7"/>
                <c:pt idx="0">
                  <c:v>餐饮</c:v>
                </c:pt>
                <c:pt idx="1">
                  <c:v>服务</c:v>
                </c:pt>
                <c:pt idx="2">
                  <c:v>零售</c:v>
                </c:pt>
                <c:pt idx="3">
                  <c:v>食品</c:v>
                </c:pt>
                <c:pt idx="4">
                  <c:v>文化教育</c:v>
                </c:pt>
                <c:pt idx="5">
                  <c:v>休闲娱乐</c:v>
                </c:pt>
                <c:pt idx="6">
                  <c:v>永旺超市</c:v>
                </c:pt>
              </c:strCache>
            </c:strRef>
          </c:cat>
          <c:val>
            <c:numRef>
              <c:f>其他!$C$22:$C$28</c:f>
              <c:numCache>
                <c:formatCode>#,##0</c:formatCode>
                <c:ptCount val="7"/>
                <c:pt idx="0">
                  <c:v>1422656.2200000002</c:v>
                </c:pt>
                <c:pt idx="1">
                  <c:v>61026.600000000006</c:v>
                </c:pt>
                <c:pt idx="2">
                  <c:v>3559306.3999999994</c:v>
                </c:pt>
                <c:pt idx="3">
                  <c:v>22852.2</c:v>
                </c:pt>
                <c:pt idx="4">
                  <c:v>12602.5</c:v>
                </c:pt>
                <c:pt idx="5">
                  <c:v>205452</c:v>
                </c:pt>
                <c:pt idx="6">
                  <c:v>491343.18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515648"/>
        <c:axId val="147520288"/>
      </c:barChart>
      <c:catAx>
        <c:axId val="147515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650"/>
            </a:pPr>
            <a:endParaRPr lang="zh-CN"/>
          </a:p>
        </c:txPr>
        <c:crossAx val="147520288"/>
        <c:crosses val="autoZero"/>
        <c:auto val="1"/>
        <c:lblAlgn val="ctr"/>
        <c:lblOffset val="100"/>
        <c:noMultiLvlLbl val="0"/>
      </c:catAx>
      <c:valAx>
        <c:axId val="14752028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75156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3687709503106054"/>
          <c:y val="0.8943190541046"/>
          <c:w val="0.12624580993799644"/>
          <c:h val="9.8559928408551767E-2"/>
        </c:manualLayout>
      </c:layout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60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" l="0.23622047244094491" r="0.23622047244094491" t="0.74803149606316266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各楼层销售情况对比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298813976706096"/>
          <c:y val="0.15307761599035583"/>
          <c:w val="0.8570118602329807"/>
          <c:h val="0.64549729204973105"/>
        </c:manualLayout>
      </c:layout>
      <c:barChart>
        <c:barDir val="col"/>
        <c:grouping val="clustered"/>
        <c:varyColors val="0"/>
        <c:ser>
          <c:idx val="1"/>
          <c:order val="0"/>
          <c:tx>
            <c:v>销售额</c:v>
          </c:tx>
          <c:invertIfNegative val="0"/>
          <c:cat>
            <c:strRef>
              <c:f>其他!$B$4:$B$17</c:f>
              <c:strCache>
                <c:ptCount val="14"/>
                <c:pt idx="0">
                  <c:v>1F</c:v>
                </c:pt>
                <c:pt idx="1">
                  <c:v>2F</c:v>
                </c:pt>
                <c:pt idx="2">
                  <c:v>3F</c:v>
                </c:pt>
                <c:pt idx="3">
                  <c:v>4F</c:v>
                </c:pt>
                <c:pt idx="4">
                  <c:v>5F</c:v>
                </c:pt>
                <c:pt idx="5">
                  <c:v>6F</c:v>
                </c:pt>
                <c:pt idx="6">
                  <c:v>7F</c:v>
                </c:pt>
                <c:pt idx="7">
                  <c:v>8F</c:v>
                </c:pt>
                <c:pt idx="8">
                  <c:v>9F</c:v>
                </c:pt>
                <c:pt idx="9">
                  <c:v>10F</c:v>
                </c:pt>
                <c:pt idx="10">
                  <c:v>11F</c:v>
                </c:pt>
                <c:pt idx="11">
                  <c:v>B1</c:v>
                </c:pt>
                <c:pt idx="12">
                  <c:v>B2</c:v>
                </c:pt>
                <c:pt idx="13">
                  <c:v>永旺超市</c:v>
                </c:pt>
              </c:strCache>
            </c:strRef>
          </c:cat>
          <c:val>
            <c:numRef>
              <c:f>其他!$D$4:$D$17</c:f>
              <c:numCache>
                <c:formatCode>_(* #,##0_);_(* \(#,##0\);_(* "-"_);_(@_)</c:formatCode>
                <c:ptCount val="14"/>
                <c:pt idx="0">
                  <c:v>1599242.5999999999</c:v>
                </c:pt>
                <c:pt idx="1">
                  <c:v>450842.80000000005</c:v>
                </c:pt>
                <c:pt idx="2">
                  <c:v>499887.2</c:v>
                </c:pt>
                <c:pt idx="3">
                  <c:v>556219.30000000005</c:v>
                </c:pt>
                <c:pt idx="4">
                  <c:v>294431.78999999998</c:v>
                </c:pt>
                <c:pt idx="5">
                  <c:v>467031</c:v>
                </c:pt>
                <c:pt idx="6">
                  <c:v>382990.04999999993</c:v>
                </c:pt>
                <c:pt idx="7">
                  <c:v>447086.58000000007</c:v>
                </c:pt>
                <c:pt idx="8">
                  <c:v>93922</c:v>
                </c:pt>
                <c:pt idx="9">
                  <c:v>0</c:v>
                </c:pt>
                <c:pt idx="10">
                  <c:v>17096</c:v>
                </c:pt>
                <c:pt idx="11">
                  <c:v>473433.60000000003</c:v>
                </c:pt>
                <c:pt idx="12">
                  <c:v>0</c:v>
                </c:pt>
                <c:pt idx="13">
                  <c:v>491343.18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440"/>
        <c:axId val="3434000"/>
      </c:barChart>
      <c:catAx>
        <c:axId val="3433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434000"/>
        <c:crosses val="autoZero"/>
        <c:auto val="1"/>
        <c:lblAlgn val="ctr"/>
        <c:lblOffset val="100"/>
        <c:noMultiLvlLbl val="0"/>
      </c:catAx>
      <c:valAx>
        <c:axId val="343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343344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60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/>
              <a:t>增长</a:t>
            </a:r>
            <a:r>
              <a:rPr lang="en-US"/>
              <a:t>/</a:t>
            </a:r>
            <a:r>
              <a:rPr lang="zh-CN"/>
              <a:t>下滑商户经营面积占比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'P2'!$B$20</c:f>
              <c:strCache>
                <c:ptCount val="1"/>
                <c:pt idx="0">
                  <c:v>经营面积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rgbClr val="FFC0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'P2'!$A$21:$A$23</c:f>
              <c:strCache>
                <c:ptCount val="3"/>
                <c:pt idx="0">
                  <c:v>增长商户</c:v>
                </c:pt>
                <c:pt idx="1">
                  <c:v>下滑商户</c:v>
                </c:pt>
                <c:pt idx="2">
                  <c:v>持平商户</c:v>
                </c:pt>
              </c:strCache>
            </c:strRef>
          </c:cat>
          <c:val>
            <c:numRef>
              <c:f>'P2'!$B$21:$B$23</c:f>
              <c:numCache>
                <c:formatCode>0.0</c:formatCode>
                <c:ptCount val="3"/>
                <c:pt idx="0">
                  <c:v>50525.040000000023</c:v>
                </c:pt>
                <c:pt idx="1">
                  <c:v>53734.84000000004</c:v>
                </c:pt>
                <c:pt idx="2">
                  <c:v>15129.927000000001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>
            <a:defRPr sz="800"/>
          </a:pPr>
          <a:endParaRPr lang="zh-CN"/>
        </a:p>
      </c:txPr>
    </c:legend>
    <c:plotVisOnly val="1"/>
    <c:dispBlanksAs val="zero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80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/>
              <a:t>增长</a:t>
            </a:r>
            <a:r>
              <a:rPr lang="en-US"/>
              <a:t>/</a:t>
            </a:r>
            <a:r>
              <a:rPr lang="zh-CN"/>
              <a:t>下滑商户个数占比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'P2'!$C$20</c:f>
              <c:strCache>
                <c:ptCount val="1"/>
                <c:pt idx="0">
                  <c:v>商户数量</c:v>
                </c:pt>
              </c:strCache>
            </c:strRef>
          </c:tx>
          <c:dPt>
            <c:idx val="0"/>
            <c:bubble3D val="0"/>
            <c:spPr>
              <a:solidFill>
                <a:srgbClr val="9BBB59"/>
              </a:solidFill>
            </c:spPr>
          </c:dPt>
          <c:dPt>
            <c:idx val="2"/>
            <c:bubble3D val="0"/>
            <c:spPr>
              <a:solidFill>
                <a:srgbClr val="FFC0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'P2'!$A$21:$A$23</c:f>
              <c:strCache>
                <c:ptCount val="3"/>
                <c:pt idx="0">
                  <c:v>增长商户</c:v>
                </c:pt>
                <c:pt idx="1">
                  <c:v>下滑商户</c:v>
                </c:pt>
                <c:pt idx="2">
                  <c:v>持平商户</c:v>
                </c:pt>
              </c:strCache>
            </c:strRef>
          </c:cat>
          <c:val>
            <c:numRef>
              <c:f>'P2'!$C$21:$C$23</c:f>
              <c:numCache>
                <c:formatCode>General</c:formatCode>
                <c:ptCount val="3"/>
                <c:pt idx="0">
                  <c:v>250</c:v>
                </c:pt>
                <c:pt idx="1">
                  <c:v>222</c:v>
                </c:pt>
                <c:pt idx="2">
                  <c:v>40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800">
          <a:latin typeface="微软雅黑" pitchFamily="34" charset="-122"/>
          <a:ea typeface="微软雅黑" pitchFamily="34" charset="-122"/>
        </a:defRPr>
      </a:pPr>
      <a:endParaRPr lang="zh-CN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80963</xdr:colOff>
      <xdr:row>6</xdr:row>
      <xdr:rowOff>0</xdr:rowOff>
    </xdr:from>
    <xdr:to>
      <xdr:col>8</xdr:col>
      <xdr:colOff>674688</xdr:colOff>
      <xdr:row>17</xdr:row>
      <xdr:rowOff>19050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642939</xdr:colOff>
      <xdr:row>23</xdr:row>
      <xdr:rowOff>142874</xdr:rowOff>
    </xdr:from>
    <xdr:to>
      <xdr:col>8</xdr:col>
      <xdr:colOff>635001</xdr:colOff>
      <xdr:row>33</xdr:row>
      <xdr:rowOff>100703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658813</xdr:colOff>
      <xdr:row>35</xdr:row>
      <xdr:rowOff>158750</xdr:rowOff>
    </xdr:from>
    <xdr:to>
      <xdr:col>8</xdr:col>
      <xdr:colOff>642938</xdr:colOff>
      <xdr:row>48</xdr:row>
      <xdr:rowOff>22571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23</xdr:row>
          <xdr:rowOff>142875</xdr:rowOff>
        </xdr:from>
        <xdr:to>
          <xdr:col>4</xdr:col>
          <xdr:colOff>714375</xdr:colOff>
          <xdr:row>33</xdr:row>
          <xdr:rowOff>180975</xdr:rowOff>
        </xdr:to>
        <xdr:pic>
          <xdr:nvPicPr>
            <xdr:cNvPr id="102769" name="Picture 473"/>
            <xdr:cNvPicPr>
              <a:picLocks noChangeAspect="1" noChangeArrowheads="1"/>
              <a:extLst>
                <a:ext uri="{84589F7E-364E-4C9E-8A38-B11213B215E9}">
                  <a14:cameraTool cellRange="其他!$B$20:$F$29" spid="_x0000_s10277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19075" y="4495800"/>
              <a:ext cx="3676650" cy="1847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34</xdr:row>
          <xdr:rowOff>85725</xdr:rowOff>
        </xdr:from>
        <xdr:to>
          <xdr:col>4</xdr:col>
          <xdr:colOff>723900</xdr:colOff>
          <xdr:row>49</xdr:row>
          <xdr:rowOff>123825</xdr:rowOff>
        </xdr:to>
        <xdr:pic>
          <xdr:nvPicPr>
            <xdr:cNvPr id="102770" name="图片 7"/>
            <xdr:cNvPicPr>
              <a:picLocks noChangeAspect="1" noChangeArrowheads="1"/>
              <a:extLst>
                <a:ext uri="{84589F7E-364E-4C9E-8A38-B11213B215E9}">
                  <a14:cameraTool cellRange="其他!$B$2:$G$18" spid="_x0000_s10278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19075" y="6429375"/>
              <a:ext cx="3686175" cy="27527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106363</xdr:colOff>
      <xdr:row>18</xdr:row>
      <xdr:rowOff>1586</xdr:rowOff>
    </xdr:from>
    <xdr:to>
      <xdr:col>6</xdr:col>
      <xdr:colOff>211138</xdr:colOff>
      <xdr:row>26</xdr:row>
      <xdr:rowOff>174625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338137</xdr:colOff>
      <xdr:row>18</xdr:row>
      <xdr:rowOff>1</xdr:rowOff>
    </xdr:from>
    <xdr:to>
      <xdr:col>9</xdr:col>
      <xdr:colOff>500062</xdr:colOff>
      <xdr:row>26</xdr:row>
      <xdr:rowOff>171452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Control 164"/>
        <xdr:cNvSpPr>
          <a:spLocks noRot="1" noChangeArrowheads="1" noChangeShapeType="1" noTextEdit="1"/>
        </xdr:cNvSpPr>
      </xdr:nvSpPr>
      <xdr:spPr bwMode="auto">
        <a:xfrm>
          <a:off x="5076825" y="285750"/>
          <a:ext cx="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6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" name="Control 164"/>
        <xdr:cNvSpPr>
          <a:spLocks noRot="1" noChangeArrowheads="1" noChangeShapeType="1" noTextEdit="1"/>
        </xdr:cNvSpPr>
      </xdr:nvSpPr>
      <xdr:spPr bwMode="auto">
        <a:xfrm>
          <a:off x="5076825" y="285750"/>
          <a:ext cx="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485775</xdr:colOff>
          <xdr:row>4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更新日报数据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4"/>
  <sheetViews>
    <sheetView tabSelected="1" showWhiteSpace="0" zoomScale="115" zoomScaleNormal="115" zoomScalePageLayoutView="115" workbookViewId="0">
      <selection activeCell="G3" sqref="G3"/>
    </sheetView>
  </sheetViews>
  <sheetFormatPr defaultColWidth="9" defaultRowHeight="14.25" x14ac:dyDescent="0.15"/>
  <cols>
    <col min="1" max="3" width="10.125" style="4" customWidth="1"/>
    <col min="4" max="4" width="11.375" style="4" customWidth="1"/>
    <col min="5" max="9" width="10.125" style="4" customWidth="1"/>
    <col min="10" max="10" width="7.75" style="4" customWidth="1"/>
    <col min="11" max="12" width="9" style="4"/>
    <col min="13" max="13" width="19.875" style="4" customWidth="1"/>
    <col min="14" max="14" width="14.375" style="4" bestFit="1" customWidth="1"/>
    <col min="15" max="16384" width="9" style="4"/>
  </cols>
  <sheetData>
    <row r="1" spans="1:14" x14ac:dyDescent="0.15">
      <c r="L1"/>
      <c r="M1"/>
      <c r="N1"/>
    </row>
    <row r="2" spans="1:14" ht="21" x14ac:dyDescent="0.15">
      <c r="C2" s="200">
        <f>其他!N2</f>
        <v>42436</v>
      </c>
      <c r="D2" s="108">
        <f>其他!N2</f>
        <v>42436</v>
      </c>
      <c r="E2" s="307" t="s">
        <v>53</v>
      </c>
      <c r="F2" s="307"/>
      <c r="G2" s="307"/>
      <c r="L2"/>
      <c r="M2"/>
      <c r="N2"/>
    </row>
    <row r="3" spans="1:14" s="86" customFormat="1" x14ac:dyDescent="0.15"/>
    <row r="4" spans="1:14" x14ac:dyDescent="0.15">
      <c r="A4" s="182" t="s">
        <v>154</v>
      </c>
      <c r="B4" s="311">
        <f>其他!N2</f>
        <v>42436</v>
      </c>
      <c r="C4" s="312"/>
      <c r="D4" s="183" t="s">
        <v>55</v>
      </c>
      <c r="E4" s="313" t="s">
        <v>2966</v>
      </c>
      <c r="F4" s="314"/>
      <c r="G4" s="314"/>
      <c r="H4" s="314"/>
      <c r="I4" s="315"/>
      <c r="L4"/>
      <c r="M4"/>
      <c r="N4"/>
    </row>
    <row r="5" spans="1:14" x14ac:dyDescent="0.15">
      <c r="A5" s="184" t="s">
        <v>54</v>
      </c>
      <c r="B5" s="308" t="s">
        <v>2342</v>
      </c>
      <c r="C5" s="309"/>
      <c r="D5" s="309"/>
      <c r="E5" s="309"/>
      <c r="F5" s="309"/>
      <c r="G5" s="309"/>
      <c r="H5" s="309"/>
      <c r="I5" s="310"/>
      <c r="L5"/>
      <c r="M5"/>
      <c r="N5"/>
    </row>
    <row r="6" spans="1:14" x14ac:dyDescent="0.15">
      <c r="L6"/>
      <c r="M6"/>
      <c r="N6"/>
    </row>
    <row r="7" spans="1:14" x14ac:dyDescent="0.15">
      <c r="A7" s="316" t="s">
        <v>610</v>
      </c>
      <c r="B7" s="317"/>
      <c r="C7" s="317"/>
      <c r="D7" s="317"/>
      <c r="E7" s="318"/>
      <c r="L7"/>
      <c r="M7"/>
      <c r="N7"/>
    </row>
    <row r="8" spans="1:14" x14ac:dyDescent="0.15">
      <c r="A8" s="19"/>
      <c r="B8" s="17" t="s">
        <v>114</v>
      </c>
      <c r="C8" s="17" t="s">
        <v>27</v>
      </c>
      <c r="D8" s="17" t="s">
        <v>707</v>
      </c>
      <c r="E8" s="20" t="s">
        <v>115</v>
      </c>
      <c r="L8"/>
      <c r="M8"/>
      <c r="N8"/>
    </row>
    <row r="9" spans="1:14" x14ac:dyDescent="0.15">
      <c r="A9" s="26" t="s">
        <v>31</v>
      </c>
      <c r="B9" s="131">
        <v>577.52391</v>
      </c>
      <c r="C9" s="117">
        <v>576.57584599999996</v>
      </c>
      <c r="D9" s="109">
        <f>B9/C9-1</f>
        <v>1.6443005834829716E-3</v>
      </c>
      <c r="E9" s="188">
        <v>992.61004585704711</v>
      </c>
      <c r="J9" s="87"/>
      <c r="L9"/>
      <c r="M9"/>
      <c r="N9"/>
    </row>
    <row r="10" spans="1:14" x14ac:dyDescent="0.15">
      <c r="A10" s="26" t="s">
        <v>32</v>
      </c>
      <c r="B10" s="131">
        <v>48510</v>
      </c>
      <c r="C10" s="117">
        <v>47254</v>
      </c>
      <c r="D10" s="109">
        <f t="shared" ref="D10:D11" si="0">B10/C10-1</f>
        <v>2.6579760443560252E-2</v>
      </c>
      <c r="E10" s="188">
        <v>75883</v>
      </c>
      <c r="J10" s="87"/>
      <c r="L10"/>
      <c r="M10"/>
      <c r="N10"/>
    </row>
    <row r="11" spans="1:14" x14ac:dyDescent="0.15">
      <c r="A11" s="26" t="s">
        <v>33</v>
      </c>
      <c r="B11" s="131">
        <v>3608</v>
      </c>
      <c r="C11" s="117">
        <v>3534</v>
      </c>
      <c r="D11" s="109">
        <f t="shared" si="0"/>
        <v>2.0939445387662792E-2</v>
      </c>
      <c r="E11" s="188">
        <v>6575</v>
      </c>
      <c r="J11" s="87"/>
      <c r="L11"/>
      <c r="M11"/>
      <c r="N11"/>
    </row>
    <row r="12" spans="1:14" x14ac:dyDescent="0.15">
      <c r="A12" s="28" t="s">
        <v>34</v>
      </c>
      <c r="B12" s="132">
        <v>0.54821686250257684</v>
      </c>
      <c r="C12" s="110">
        <v>0.52020992931815291</v>
      </c>
      <c r="D12" s="110">
        <f>B12-C12</f>
        <v>2.8006933184423932E-2</v>
      </c>
      <c r="E12" s="83">
        <f>46417/E10</f>
        <v>0.61169168324921264</v>
      </c>
      <c r="J12" s="149"/>
      <c r="L12"/>
      <c r="M12"/>
      <c r="N12"/>
    </row>
    <row r="13" spans="1:14" x14ac:dyDescent="0.15">
      <c r="A13" s="15"/>
      <c r="B13" s="16"/>
      <c r="C13" s="16"/>
      <c r="D13" s="16"/>
      <c r="E13" s="16"/>
      <c r="J13" s="107"/>
      <c r="L13"/>
      <c r="M13"/>
      <c r="N13"/>
    </row>
    <row r="14" spans="1:14" x14ac:dyDescent="0.15">
      <c r="A14" s="299" t="s">
        <v>106</v>
      </c>
      <c r="B14" s="300"/>
      <c r="C14" s="300"/>
      <c r="D14" s="300"/>
      <c r="E14" s="301"/>
      <c r="L14"/>
      <c r="M14"/>
      <c r="N14"/>
    </row>
    <row r="15" spans="1:14" x14ac:dyDescent="0.15">
      <c r="A15" s="21"/>
      <c r="B15" s="18" t="s">
        <v>35</v>
      </c>
      <c r="C15" s="18" t="s">
        <v>36</v>
      </c>
      <c r="D15" s="18" t="s">
        <v>677</v>
      </c>
      <c r="E15" s="22" t="s">
        <v>37</v>
      </c>
    </row>
    <row r="16" spans="1:14" x14ac:dyDescent="0.15">
      <c r="A16" s="26" t="s">
        <v>31</v>
      </c>
      <c r="B16" s="75">
        <v>317000</v>
      </c>
      <c r="C16" s="75">
        <v>60597.007406400313</v>
      </c>
      <c r="D16" s="75">
        <f>B16-C16</f>
        <v>256402.99259359969</v>
      </c>
      <c r="E16" s="30">
        <f>C16/B16</f>
        <v>0.19115775207066346</v>
      </c>
    </row>
    <row r="17" spans="1:13" x14ac:dyDescent="0.15">
      <c r="A17" s="28" t="s">
        <v>32</v>
      </c>
      <c r="B17" s="76">
        <v>2431</v>
      </c>
      <c r="C17" s="195">
        <v>393.68959999999998</v>
      </c>
      <c r="D17" s="76">
        <f>B17-C17</f>
        <v>2037.3104000000001</v>
      </c>
      <c r="E17" s="83">
        <f>C17/B17</f>
        <v>0.16194553681612506</v>
      </c>
    </row>
    <row r="18" spans="1:13" ht="17.25" x14ac:dyDescent="0.15">
      <c r="M18" s="24"/>
    </row>
    <row r="19" spans="1:13" ht="19.5" customHeight="1" x14ac:dyDescent="0.15">
      <c r="A19" s="302" t="s">
        <v>107</v>
      </c>
      <c r="B19" s="303"/>
      <c r="C19" s="303"/>
      <c r="D19" s="303"/>
      <c r="E19" s="303"/>
      <c r="F19" s="303"/>
      <c r="G19" s="303"/>
      <c r="H19" s="303"/>
      <c r="I19" s="304"/>
    </row>
    <row r="20" spans="1:13" x14ac:dyDescent="0.15">
      <c r="A20" s="23"/>
      <c r="B20" s="305" t="s">
        <v>39</v>
      </c>
      <c r="C20" s="305"/>
      <c r="D20" s="305" t="s">
        <v>42</v>
      </c>
      <c r="E20" s="305"/>
      <c r="F20" s="305" t="s">
        <v>1829</v>
      </c>
      <c r="G20" s="305"/>
      <c r="H20" s="305" t="s">
        <v>1830</v>
      </c>
      <c r="I20" s="306"/>
    </row>
    <row r="21" spans="1:13" x14ac:dyDescent="0.15">
      <c r="A21" s="31" t="s">
        <v>40</v>
      </c>
      <c r="B21" s="32" t="s">
        <v>1582</v>
      </c>
      <c r="C21" s="80">
        <v>2568</v>
      </c>
      <c r="D21" s="32" t="s">
        <v>1828</v>
      </c>
      <c r="E21" s="80">
        <v>1795</v>
      </c>
      <c r="F21" s="32" t="s">
        <v>1582</v>
      </c>
      <c r="G21" s="80">
        <v>2568</v>
      </c>
      <c r="H21" s="100" t="s">
        <v>1833</v>
      </c>
      <c r="I21" s="201">
        <v>1534</v>
      </c>
      <c r="M21" s="148"/>
    </row>
    <row r="22" spans="1:13" x14ac:dyDescent="0.15">
      <c r="A22" s="31" t="s">
        <v>38</v>
      </c>
      <c r="B22" s="32" t="s">
        <v>715</v>
      </c>
      <c r="C22" s="96">
        <v>14.4</v>
      </c>
      <c r="D22" s="32" t="s">
        <v>710</v>
      </c>
      <c r="E22" s="96">
        <v>14.3</v>
      </c>
      <c r="F22" s="32" t="s">
        <v>1831</v>
      </c>
      <c r="G22" s="96">
        <v>11.2</v>
      </c>
      <c r="H22" s="100" t="s">
        <v>1832</v>
      </c>
      <c r="I22" s="101">
        <v>9</v>
      </c>
      <c r="J22" s="86"/>
      <c r="K22" s="107"/>
      <c r="L22" s="107"/>
    </row>
    <row r="23" spans="1:13" x14ac:dyDescent="0.15">
      <c r="A23" s="33" t="s">
        <v>41</v>
      </c>
      <c r="B23" s="34" t="s">
        <v>666</v>
      </c>
      <c r="C23" s="81">
        <v>9118</v>
      </c>
      <c r="D23" s="34" t="s">
        <v>665</v>
      </c>
      <c r="E23" s="81">
        <v>9051</v>
      </c>
      <c r="F23" s="34" t="s">
        <v>1831</v>
      </c>
      <c r="G23" s="81">
        <v>7417</v>
      </c>
      <c r="H23" s="293" t="s">
        <v>1876</v>
      </c>
      <c r="I23" s="102">
        <v>7451</v>
      </c>
    </row>
    <row r="24" spans="1:13" x14ac:dyDescent="0.15">
      <c r="L24" s="279" t="s">
        <v>941</v>
      </c>
    </row>
  </sheetData>
  <mergeCells count="11">
    <mergeCell ref="E2:G2"/>
    <mergeCell ref="B5:I5"/>
    <mergeCell ref="B4:C4"/>
    <mergeCell ref="E4:I4"/>
    <mergeCell ref="A7:E7"/>
    <mergeCell ref="A14:E14"/>
    <mergeCell ref="A19:I19"/>
    <mergeCell ref="B20:C20"/>
    <mergeCell ref="D20:E20"/>
    <mergeCell ref="F20:G20"/>
    <mergeCell ref="H20:I20"/>
  </mergeCells>
  <phoneticPr fontId="40" type="noConversion"/>
  <conditionalFormatting sqref="D9:D12">
    <cfRule type="iconSet" priority="2">
      <iconSet iconSet="3Arrows">
        <cfvo type="percent" val="0"/>
        <cfvo type="num" val="0"/>
        <cfvo type="num" val="0" gte="0"/>
      </iconSet>
    </cfRule>
  </conditionalFormatting>
  <pageMargins left="0.23622047244094491" right="0.23622047244094491" top="0.74803149606299213" bottom="0" header="0.31496062992125984" footer="0.31496062992125984"/>
  <pageSetup paperSize="9" orientation="portrait" r:id="rId1"/>
  <headerFooter>
    <oddHeader>&amp;L&amp;"微软雅黑,加粗"&amp;8&amp;K04+000朝阳大悦城 经营数据分析中心Business Information Analysis Centre&amp;R&amp;G</oddHeader>
    <oddFooter>&amp;L&amp;"微软雅黑,加粗"&amp;6&amp;K04+000BIAC： 保密文件 内部使用&amp;C&amp;"微软雅黑,常规"&amp;6&amp;K04+000&amp;D&amp;R&amp;"微软雅黑,常规"&amp;6&amp;K04+000 第 &amp;P 页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85"/>
  <sheetViews>
    <sheetView zoomScale="120" zoomScaleNormal="120" zoomScalePageLayoutView="120" workbookViewId="0">
      <selection activeCell="H17" sqref="H17"/>
    </sheetView>
  </sheetViews>
  <sheetFormatPr defaultRowHeight="14.25" x14ac:dyDescent="0.15"/>
  <cols>
    <col min="1" max="1" width="8.125" customWidth="1"/>
    <col min="2" max="2" width="16.125" customWidth="1"/>
    <col min="3" max="3" width="6.875" style="137" customWidth="1"/>
    <col min="4" max="4" width="7.5" style="156" customWidth="1"/>
    <col min="5" max="5" width="12.375" customWidth="1"/>
    <col min="6" max="6" width="8.125" customWidth="1"/>
    <col min="7" max="7" width="9.25" customWidth="1"/>
    <col min="8" max="8" width="9.625" style="3" customWidth="1"/>
    <col min="9" max="10" width="8.125" customWidth="1"/>
    <col min="11" max="11" width="13.125" bestFit="1" customWidth="1"/>
  </cols>
  <sheetData>
    <row r="1" spans="1:12" s="63" customFormat="1" x14ac:dyDescent="0.15">
      <c r="C1" s="137"/>
      <c r="D1" s="156"/>
      <c r="L1" s="279"/>
    </row>
    <row r="2" spans="1:12" s="63" customFormat="1" ht="16.5" x14ac:dyDescent="0.15">
      <c r="A2" s="6" t="s">
        <v>104</v>
      </c>
      <c r="C2" s="137"/>
      <c r="D2" s="156"/>
    </row>
    <row r="3" spans="1:12" s="63" customFormat="1" x14ac:dyDescent="0.15">
      <c r="A3" s="319" t="s">
        <v>254</v>
      </c>
      <c r="B3" s="320"/>
      <c r="C3" s="320"/>
      <c r="D3" s="320"/>
      <c r="E3" s="320"/>
      <c r="F3" s="320"/>
      <c r="G3" s="320"/>
      <c r="H3" s="320"/>
      <c r="I3" s="320"/>
      <c r="J3" s="321"/>
    </row>
    <row r="4" spans="1:12" s="63" customFormat="1" x14ac:dyDescent="0.15">
      <c r="A4" s="56" t="s">
        <v>116</v>
      </c>
      <c r="B4" s="57" t="s">
        <v>0</v>
      </c>
      <c r="C4" s="138" t="s">
        <v>18</v>
      </c>
      <c r="D4" s="157" t="s">
        <v>1</v>
      </c>
      <c r="E4" s="58" t="s">
        <v>24</v>
      </c>
      <c r="F4" s="57" t="s">
        <v>64</v>
      </c>
      <c r="G4" s="57" t="s">
        <v>60</v>
      </c>
      <c r="H4" s="59" t="s">
        <v>253</v>
      </c>
      <c r="I4" s="59" t="s">
        <v>62</v>
      </c>
      <c r="J4" s="60" t="s">
        <v>63</v>
      </c>
    </row>
    <row r="5" spans="1:12" s="63" customFormat="1" x14ac:dyDescent="0.3">
      <c r="A5" s="128" t="s">
        <v>2353</v>
      </c>
      <c r="B5" s="119" t="s">
        <v>1939</v>
      </c>
      <c r="C5" s="143">
        <v>4886.24</v>
      </c>
      <c r="D5" s="143">
        <v>2135</v>
      </c>
      <c r="E5" s="143">
        <v>153885</v>
      </c>
      <c r="F5" s="109">
        <v>2.6451288075540688E-2</v>
      </c>
      <c r="G5" s="143">
        <v>55920</v>
      </c>
      <c r="H5" s="192">
        <v>97965</v>
      </c>
      <c r="I5" s="121">
        <v>72.077283372365343</v>
      </c>
      <c r="J5" s="129">
        <v>31.493541045875766</v>
      </c>
    </row>
    <row r="6" spans="1:12" s="63" customFormat="1" x14ac:dyDescent="0.15">
      <c r="A6" s="118" t="s">
        <v>1025</v>
      </c>
      <c r="B6" s="119" t="s">
        <v>2216</v>
      </c>
      <c r="C6" s="143">
        <v>2346</v>
      </c>
      <c r="D6" s="143">
        <v>109</v>
      </c>
      <c r="E6" s="143">
        <v>36242</v>
      </c>
      <c r="F6" s="109">
        <v>5.07904813463892E-2</v>
      </c>
      <c r="G6" s="143">
        <v>-8164.7</v>
      </c>
      <c r="H6" s="192">
        <v>44406.7</v>
      </c>
      <c r="I6" s="121">
        <v>332.49541284403671</v>
      </c>
      <c r="J6" s="129">
        <v>15.448422847399829</v>
      </c>
    </row>
    <row r="7" spans="1:12" s="63" customFormat="1" x14ac:dyDescent="0.15">
      <c r="A7" s="123" t="s">
        <v>942</v>
      </c>
      <c r="B7" s="119" t="s">
        <v>1973</v>
      </c>
      <c r="C7" s="143">
        <v>386.01</v>
      </c>
      <c r="D7" s="143">
        <v>275</v>
      </c>
      <c r="E7" s="143">
        <v>151708.79999999999</v>
      </c>
      <c r="F7" s="109">
        <v>2.6077221122231452E-2</v>
      </c>
      <c r="G7" s="143">
        <v>108125</v>
      </c>
      <c r="H7" s="192">
        <v>43583.799999999988</v>
      </c>
      <c r="I7" s="121">
        <v>551.66836363636355</v>
      </c>
      <c r="J7" s="129">
        <v>393.01779746638687</v>
      </c>
    </row>
    <row r="8" spans="1:12" s="86" customFormat="1" x14ac:dyDescent="0.15">
      <c r="A8" s="123" t="s">
        <v>1002</v>
      </c>
      <c r="B8" s="119" t="s">
        <v>1976</v>
      </c>
      <c r="C8" s="143">
        <v>1905</v>
      </c>
      <c r="D8" s="143">
        <v>499</v>
      </c>
      <c r="E8" s="143">
        <v>111569</v>
      </c>
      <c r="F8" s="109">
        <v>1.91775920934464E-2</v>
      </c>
      <c r="G8" s="143">
        <v>74615</v>
      </c>
      <c r="H8" s="192">
        <v>36954</v>
      </c>
      <c r="I8" s="121">
        <v>223.58517034068137</v>
      </c>
      <c r="J8" s="129">
        <v>58.566404199475066</v>
      </c>
    </row>
    <row r="9" spans="1:12" s="63" customFormat="1" x14ac:dyDescent="0.15">
      <c r="A9" s="124" t="s">
        <v>2501</v>
      </c>
      <c r="B9" s="125" t="s">
        <v>2106</v>
      </c>
      <c r="C9" s="164">
        <v>218</v>
      </c>
      <c r="D9" s="164">
        <v>23</v>
      </c>
      <c r="E9" s="164">
        <v>35556</v>
      </c>
      <c r="F9" s="110">
        <v>6.2226895403652262E-2</v>
      </c>
      <c r="G9" s="164">
        <v>5340</v>
      </c>
      <c r="H9" s="193">
        <v>30216</v>
      </c>
      <c r="I9" s="126">
        <v>1545.9130434782608</v>
      </c>
      <c r="J9" s="130">
        <v>163.10091743119267</v>
      </c>
    </row>
    <row r="10" spans="1:12" s="63" customFormat="1" x14ac:dyDescent="0.15">
      <c r="A10" s="66"/>
      <c r="B10" s="66"/>
      <c r="C10" s="139"/>
      <c r="D10" s="64"/>
      <c r="E10" s="67"/>
      <c r="F10" s="64"/>
      <c r="G10" s="67"/>
      <c r="H10" s="65"/>
      <c r="I10" s="65"/>
      <c r="J10" s="65"/>
    </row>
    <row r="11" spans="1:12" s="63" customFormat="1" x14ac:dyDescent="0.15">
      <c r="A11" s="319" t="s">
        <v>251</v>
      </c>
      <c r="B11" s="320"/>
      <c r="C11" s="320"/>
      <c r="D11" s="320"/>
      <c r="E11" s="320"/>
      <c r="F11" s="320"/>
      <c r="G11" s="320"/>
      <c r="H11" s="320"/>
      <c r="I11" s="320"/>
      <c r="J11" s="321"/>
    </row>
    <row r="12" spans="1:12" s="63" customFormat="1" x14ac:dyDescent="0.15">
      <c r="A12" s="56" t="s">
        <v>116</v>
      </c>
      <c r="B12" s="57" t="s">
        <v>0</v>
      </c>
      <c r="C12" s="138" t="s">
        <v>18</v>
      </c>
      <c r="D12" s="157" t="s">
        <v>1</v>
      </c>
      <c r="E12" s="58" t="s">
        <v>24</v>
      </c>
      <c r="F12" s="57" t="s">
        <v>64</v>
      </c>
      <c r="G12" s="57" t="s">
        <v>60</v>
      </c>
      <c r="H12" s="59" t="s">
        <v>252</v>
      </c>
      <c r="I12" s="59" t="s">
        <v>62</v>
      </c>
      <c r="J12" s="60" t="s">
        <v>63</v>
      </c>
    </row>
    <row r="13" spans="1:12" s="63" customFormat="1" ht="14.25" customHeight="1" x14ac:dyDescent="0.15">
      <c r="A13" s="118" t="s">
        <v>2502</v>
      </c>
      <c r="B13" s="119" t="s">
        <v>2503</v>
      </c>
      <c r="C13" s="143">
        <v>14537.8</v>
      </c>
      <c r="D13" s="143">
        <v>1</v>
      </c>
      <c r="E13" s="143">
        <v>491343.18</v>
      </c>
      <c r="F13" s="120">
        <v>8.4456964604296983E-2</v>
      </c>
      <c r="G13" s="143">
        <v>558493.4</v>
      </c>
      <c r="H13" s="192">
        <v>-67150.22000000003</v>
      </c>
      <c r="I13" s="121">
        <v>491343.18</v>
      </c>
      <c r="J13" s="122">
        <v>33.797629627591519</v>
      </c>
    </row>
    <row r="14" spans="1:12" s="63" customFormat="1" ht="14.25" customHeight="1" x14ac:dyDescent="0.15">
      <c r="A14" s="118" t="s">
        <v>2504</v>
      </c>
      <c r="B14" s="119" t="s">
        <v>2505</v>
      </c>
      <c r="C14" s="143">
        <v>70</v>
      </c>
      <c r="D14" s="143">
        <v>30</v>
      </c>
      <c r="E14" s="143">
        <v>30304</v>
      </c>
      <c r="F14" s="109">
        <v>1.69638579252268E-2</v>
      </c>
      <c r="G14" s="143">
        <v>91563</v>
      </c>
      <c r="H14" s="192">
        <v>-61259</v>
      </c>
      <c r="I14" s="121">
        <v>1010.1333333333333</v>
      </c>
      <c r="J14" s="122">
        <v>432.91428571428571</v>
      </c>
    </row>
    <row r="15" spans="1:12" s="63" customFormat="1" ht="14.25" customHeight="1" x14ac:dyDescent="0.15">
      <c r="A15" s="123" t="s">
        <v>2506</v>
      </c>
      <c r="B15" s="119" t="s">
        <v>2507</v>
      </c>
      <c r="C15" s="143">
        <v>67</v>
      </c>
      <c r="D15" s="143">
        <v>458</v>
      </c>
      <c r="E15" s="143">
        <v>14711.7</v>
      </c>
      <c r="F15" s="109">
        <v>2.1769077551893019E-2</v>
      </c>
      <c r="G15" s="143">
        <v>68285</v>
      </c>
      <c r="H15" s="192">
        <v>-53573.3</v>
      </c>
      <c r="I15" s="121">
        <v>32.121615720524019</v>
      </c>
      <c r="J15" s="122">
        <v>219.57761194029851</v>
      </c>
    </row>
    <row r="16" spans="1:12" s="63" customFormat="1" ht="15" customHeight="1" x14ac:dyDescent="0.15">
      <c r="A16" s="118" t="s">
        <v>2508</v>
      </c>
      <c r="B16" s="119" t="s">
        <v>2509</v>
      </c>
      <c r="C16" s="143">
        <v>395.72</v>
      </c>
      <c r="D16" s="143"/>
      <c r="E16" s="143"/>
      <c r="F16" s="120">
        <v>0</v>
      </c>
      <c r="G16" s="143">
        <v>42660</v>
      </c>
      <c r="H16" s="192">
        <v>-42660</v>
      </c>
      <c r="I16" s="121">
        <v>0</v>
      </c>
      <c r="J16" s="122">
        <v>0</v>
      </c>
    </row>
    <row r="17" spans="1:11" s="63" customFormat="1" ht="14.25" customHeight="1" x14ac:dyDescent="0.15">
      <c r="A17" s="124" t="s">
        <v>2510</v>
      </c>
      <c r="B17" s="125" t="s">
        <v>2511</v>
      </c>
      <c r="C17" s="164">
        <v>22.72</v>
      </c>
      <c r="D17" s="164"/>
      <c r="E17" s="164"/>
      <c r="F17" s="110">
        <v>0</v>
      </c>
      <c r="G17" s="164">
        <v>42527</v>
      </c>
      <c r="H17" s="193">
        <v>-42527</v>
      </c>
      <c r="I17" s="126">
        <v>0</v>
      </c>
      <c r="J17" s="127">
        <v>0</v>
      </c>
    </row>
    <row r="18" spans="1:11" s="82" customFormat="1" x14ac:dyDescent="0.15">
      <c r="A18" s="66"/>
      <c r="B18" s="66"/>
      <c r="C18" s="139"/>
      <c r="D18" s="64"/>
      <c r="E18" s="87"/>
      <c r="F18" s="64"/>
      <c r="G18" s="87"/>
      <c r="H18" s="88"/>
      <c r="I18" s="89"/>
      <c r="J18" s="90"/>
    </row>
    <row r="19" spans="1:11" s="82" customFormat="1" ht="16.5" x14ac:dyDescent="0.15">
      <c r="A19" s="91" t="s">
        <v>112</v>
      </c>
      <c r="B19" s="66"/>
      <c r="C19" s="139"/>
      <c r="D19" s="64"/>
      <c r="E19" s="87"/>
      <c r="F19" s="64"/>
      <c r="G19" s="87"/>
      <c r="H19" s="88"/>
      <c r="I19" s="89"/>
      <c r="J19" s="90"/>
    </row>
    <row r="20" spans="1:11" s="82" customFormat="1" x14ac:dyDescent="0.15">
      <c r="A20" s="92"/>
      <c r="B20" s="93" t="s">
        <v>109</v>
      </c>
      <c r="C20" s="172" t="s">
        <v>108</v>
      </c>
      <c r="D20" s="64"/>
      <c r="E20" s="87"/>
      <c r="F20" s="64"/>
      <c r="G20" s="87"/>
      <c r="H20" s="88"/>
      <c r="I20" s="89"/>
      <c r="J20" s="90"/>
    </row>
    <row r="21" spans="1:11" s="82" customFormat="1" ht="14.25" customHeight="1" x14ac:dyDescent="0.15">
      <c r="A21" s="94" t="s">
        <v>110</v>
      </c>
      <c r="B21" s="186">
        <v>50525.040000000023</v>
      </c>
      <c r="C21" s="154">
        <v>250</v>
      </c>
      <c r="D21" s="64"/>
      <c r="E21" s="87"/>
      <c r="F21" s="64"/>
      <c r="G21" s="87"/>
      <c r="H21" s="88"/>
      <c r="I21" s="89"/>
      <c r="J21" s="90"/>
    </row>
    <row r="22" spans="1:11" s="82" customFormat="1" ht="14.25" customHeight="1" x14ac:dyDescent="0.15">
      <c r="A22" s="94" t="s">
        <v>111</v>
      </c>
      <c r="B22" s="186">
        <v>53734.84000000004</v>
      </c>
      <c r="C22" s="154">
        <v>222</v>
      </c>
      <c r="D22" s="64"/>
      <c r="E22" s="87"/>
      <c r="F22" s="64"/>
      <c r="G22" s="87"/>
      <c r="H22" s="88"/>
      <c r="I22" s="89"/>
      <c r="J22" s="90"/>
    </row>
    <row r="23" spans="1:11" s="82" customFormat="1" ht="14.25" customHeight="1" x14ac:dyDescent="0.15">
      <c r="A23" s="95" t="s">
        <v>113</v>
      </c>
      <c r="B23" s="187">
        <v>15129.927000000001</v>
      </c>
      <c r="C23" s="155">
        <v>40</v>
      </c>
      <c r="D23" s="158"/>
      <c r="E23" s="2"/>
      <c r="F23" s="2"/>
      <c r="G23" s="2"/>
      <c r="H23" s="2"/>
      <c r="I23" s="2"/>
      <c r="J23" s="2"/>
    </row>
    <row r="24" spans="1:11" s="82" customFormat="1" x14ac:dyDescent="0.15">
      <c r="A24" s="66"/>
      <c r="B24" s="66"/>
      <c r="C24" s="139"/>
      <c r="D24" s="64"/>
      <c r="E24" s="87"/>
      <c r="F24" s="64"/>
      <c r="G24" s="87"/>
      <c r="H24" s="88"/>
      <c r="I24" s="89"/>
      <c r="J24" s="90"/>
    </row>
    <row r="25" spans="1:11" s="82" customFormat="1" x14ac:dyDescent="0.15">
      <c r="A25" s="66"/>
      <c r="B25" s="66"/>
      <c r="C25" s="153"/>
      <c r="D25" s="64"/>
      <c r="E25" s="87"/>
      <c r="F25" s="64"/>
      <c r="G25" s="87"/>
      <c r="H25" s="88"/>
      <c r="I25" s="89"/>
      <c r="J25" s="90"/>
    </row>
    <row r="26" spans="1:11" s="82" customFormat="1" x14ac:dyDescent="0.15">
      <c r="A26" s="66"/>
      <c r="B26" s="66"/>
      <c r="C26" s="139"/>
      <c r="D26" s="64"/>
      <c r="E26" s="87"/>
      <c r="F26" s="64"/>
      <c r="G26" s="87"/>
      <c r="H26" s="88"/>
      <c r="I26" s="89"/>
      <c r="J26" s="90"/>
    </row>
    <row r="27" spans="1:11" s="82" customFormat="1" x14ac:dyDescent="0.15">
      <c r="A27" s="66"/>
      <c r="B27" s="66"/>
      <c r="C27" s="139"/>
      <c r="D27" s="64"/>
      <c r="E27" s="87"/>
      <c r="F27" s="64"/>
      <c r="G27" s="87"/>
      <c r="H27" s="88"/>
      <c r="I27" s="89"/>
      <c r="J27" s="90"/>
    </row>
    <row r="28" spans="1:11" x14ac:dyDescent="0.15">
      <c r="A28" s="2"/>
      <c r="B28" s="2"/>
      <c r="C28" s="140"/>
      <c r="D28" s="158"/>
      <c r="E28" s="2"/>
      <c r="F28" s="2"/>
      <c r="G28" s="2"/>
      <c r="H28" s="2"/>
      <c r="I28" s="2"/>
      <c r="J28" s="2"/>
    </row>
    <row r="29" spans="1:11" ht="16.5" x14ac:dyDescent="0.15">
      <c r="A29" s="6" t="s">
        <v>25</v>
      </c>
    </row>
    <row r="30" spans="1:11" ht="14.25" customHeight="1" x14ac:dyDescent="0.15">
      <c r="A30" s="322" t="s">
        <v>358</v>
      </c>
      <c r="B30" s="323"/>
      <c r="C30" s="323"/>
      <c r="D30" s="323"/>
      <c r="E30" s="323"/>
      <c r="F30" s="323"/>
      <c r="G30" s="323"/>
      <c r="H30" s="323"/>
      <c r="I30" s="323"/>
      <c r="J30" s="324"/>
    </row>
    <row r="31" spans="1:11" ht="14.25" customHeight="1" x14ac:dyDescent="0.15">
      <c r="A31" s="37" t="s">
        <v>116</v>
      </c>
      <c r="B31" s="38" t="s">
        <v>94</v>
      </c>
      <c r="C31" s="141" t="s">
        <v>95</v>
      </c>
      <c r="D31" s="159" t="s">
        <v>96</v>
      </c>
      <c r="E31" s="39" t="s">
        <v>97</v>
      </c>
      <c r="F31" s="38" t="s">
        <v>98</v>
      </c>
      <c r="G31" s="38" t="s">
        <v>99</v>
      </c>
      <c r="H31" s="41" t="s">
        <v>100</v>
      </c>
      <c r="I31" s="41" t="s">
        <v>101</v>
      </c>
      <c r="J31" s="40" t="s">
        <v>102</v>
      </c>
    </row>
    <row r="32" spans="1:11" ht="14.25" customHeight="1" x14ac:dyDescent="0.15">
      <c r="A32" s="42" t="s">
        <v>103</v>
      </c>
      <c r="B32" s="43"/>
      <c r="C32" s="142">
        <f>SUM(C33:C51)</f>
        <v>55235.849999999991</v>
      </c>
      <c r="D32" s="160">
        <f>SUM(D33:D51)</f>
        <v>5317</v>
      </c>
      <c r="E32" s="77">
        <f>SUM(E33:E51)</f>
        <v>1943297.03</v>
      </c>
      <c r="F32" s="113">
        <f>E32/SUM(销售数据!H:H)</f>
        <v>0.33403326871932049</v>
      </c>
      <c r="G32" s="78">
        <f>SUM(G33:G51)</f>
        <v>1853851.41</v>
      </c>
      <c r="H32" s="44">
        <f t="shared" ref="H32" si="0">IF(OR(E32=G32,AND(E32="",G32=0),AND(E32=0,G32="")),0%,IF(OR(G32="",G32=0),100%,(E32-G32)/ABS(G32)))</f>
        <v>4.8248537891178729E-2</v>
      </c>
      <c r="I32" s="79">
        <f t="shared" ref="I32" si="1">IF(OR(D32=0,D32=""),0,E32/D32)</f>
        <v>365.48749858943012</v>
      </c>
      <c r="J32" s="74">
        <f>E32/C32</f>
        <v>35.181807286390999</v>
      </c>
      <c r="K32" s="1"/>
    </row>
    <row r="33" spans="1:11" ht="14.25" customHeight="1" x14ac:dyDescent="0.3">
      <c r="A33" s="128" t="s">
        <v>176</v>
      </c>
      <c r="B33" s="98" t="s">
        <v>2375</v>
      </c>
      <c r="C33" s="143">
        <v>14537.8</v>
      </c>
      <c r="D33" s="143">
        <v>1</v>
      </c>
      <c r="E33" s="143">
        <v>491343.18</v>
      </c>
      <c r="F33" s="62">
        <f>E33/SUM(销售数据!H:H)</f>
        <v>8.4456964604296983E-2</v>
      </c>
      <c r="G33" s="143">
        <v>558493.4</v>
      </c>
      <c r="H33" s="27">
        <f>IF(OR(E33=G33,AND(E33="",G33=0),AND(E33=0,G33="")),0%,IF(OR(G33="",G33=0),100%,(E33-G33)/ABS(G33)))</f>
        <v>-0.12023458110695673</v>
      </c>
      <c r="I33" s="143">
        <f t="shared" ref="I33:I51" si="2">IF(OR(D33=0,D33=""),0,E33/D33)</f>
        <v>491343.18</v>
      </c>
      <c r="J33" s="122">
        <f>E33/C33</f>
        <v>33.797629627591519</v>
      </c>
      <c r="K33" s="1"/>
    </row>
    <row r="34" spans="1:11" s="86" customFormat="1" ht="14.25" customHeight="1" x14ac:dyDescent="0.3">
      <c r="A34" s="128" t="s">
        <v>181</v>
      </c>
      <c r="B34" s="98" t="s">
        <v>2376</v>
      </c>
      <c r="C34" s="143">
        <v>1805.62</v>
      </c>
      <c r="D34" s="143">
        <v>245</v>
      </c>
      <c r="E34" s="143">
        <v>67112</v>
      </c>
      <c r="F34" s="62">
        <f>E34/SUM(销售数据!H:H)</f>
        <v>1.1535879684996503E-2</v>
      </c>
      <c r="G34" s="143">
        <v>59195.6</v>
      </c>
      <c r="H34" s="27">
        <f t="shared" ref="H34:H36" si="3">IF(OR(E34=G34,AND(E34="",G34=0),AND(E34=0,G34="")),0%,IF(OR(G34="",G34=0),100%,(E34-G34)/ABS(G34)))</f>
        <v>0.13373291258134054</v>
      </c>
      <c r="I34" s="143">
        <f t="shared" ref="I34:I36" si="4">IF(OR(D34=0,D34=""),0,E34/D34)</f>
        <v>273.9265306122449</v>
      </c>
      <c r="J34" s="122">
        <f t="shared" ref="J34:J36" si="5">E34/C34</f>
        <v>37.168396451080518</v>
      </c>
      <c r="K34" s="1"/>
    </row>
    <row r="35" spans="1:11" s="86" customFormat="1" ht="14.25" customHeight="1" x14ac:dyDescent="0.3">
      <c r="A35" s="128" t="s">
        <v>942</v>
      </c>
      <c r="B35" s="98" t="s">
        <v>1973</v>
      </c>
      <c r="C35" s="143">
        <v>386.01</v>
      </c>
      <c r="D35" s="143">
        <v>275</v>
      </c>
      <c r="E35" s="143">
        <v>151708.79999999999</v>
      </c>
      <c r="F35" s="62">
        <f>E35/SUM(销售数据!H:H)</f>
        <v>2.6077221122231452E-2</v>
      </c>
      <c r="G35" s="143">
        <v>108125</v>
      </c>
      <c r="H35" s="27">
        <f t="shared" ref="H35" si="6">IF(OR(E35=G35,AND(E35="",G35=0),AND(E35=0,G35="")),0%,IF(OR(G35="",G35=0),100%,(E35-G35)/ABS(G35)))</f>
        <v>0.4030871676300577</v>
      </c>
      <c r="I35" s="143">
        <f t="shared" ref="I35" si="7">IF(OR(D35=0,D35=""),0,E35/D35)</f>
        <v>551.66836363636355</v>
      </c>
      <c r="J35" s="122">
        <f t="shared" ref="J35" si="8">E35/C35</f>
        <v>393.01779746638687</v>
      </c>
      <c r="K35" s="1"/>
    </row>
    <row r="36" spans="1:11" s="86" customFormat="1" ht="14.25" customHeight="1" x14ac:dyDescent="0.3">
      <c r="A36" s="128" t="s">
        <v>324</v>
      </c>
      <c r="B36" s="98" t="s">
        <v>1974</v>
      </c>
      <c r="C36" s="143">
        <v>747.79</v>
      </c>
      <c r="D36" s="143">
        <v>471</v>
      </c>
      <c r="E36" s="143">
        <v>70502</v>
      </c>
      <c r="F36" s="62">
        <f>E36/SUM(销售数据!H:H)</f>
        <v>1.2118586684223736E-2</v>
      </c>
      <c r="G36" s="143">
        <v>70471</v>
      </c>
      <c r="H36" s="27">
        <f t="shared" si="3"/>
        <v>4.3989726270380724E-4</v>
      </c>
      <c r="I36" s="143">
        <f t="shared" si="4"/>
        <v>149.68577494692144</v>
      </c>
      <c r="J36" s="122">
        <f t="shared" si="5"/>
        <v>94.280479813851485</v>
      </c>
      <c r="K36" s="1"/>
    </row>
    <row r="37" spans="1:11" s="86" customFormat="1" ht="14.25" customHeight="1" x14ac:dyDescent="0.3">
      <c r="A37" s="128" t="s">
        <v>353</v>
      </c>
      <c r="B37" s="98" t="s">
        <v>1975</v>
      </c>
      <c r="C37" s="143">
        <v>1370.54</v>
      </c>
      <c r="D37" s="143">
        <v>146</v>
      </c>
      <c r="E37" s="143">
        <v>21996.5</v>
      </c>
      <c r="F37" s="62">
        <f>E37/SUM(销售数据!H:H)</f>
        <v>3.7809777311214919E-3</v>
      </c>
      <c r="G37" s="143">
        <v>30637.1</v>
      </c>
      <c r="H37" s="27">
        <f t="shared" ref="H37" si="9">IF(OR(E37=G37,AND(E37="",G37=0),AND(E37=0,G37="")),0%,IF(OR(G37="",G37=0),100%,(E37-G37)/ABS(G37)))</f>
        <v>-0.28203060994676388</v>
      </c>
      <c r="I37" s="143">
        <f t="shared" ref="I37" si="10">IF(OR(D37=0,D37=""),0,E37/D37)</f>
        <v>150.66095890410958</v>
      </c>
      <c r="J37" s="122">
        <f t="shared" ref="J37" si="11">E37/C37</f>
        <v>16.04951333051206</v>
      </c>
      <c r="K37" s="1"/>
    </row>
    <row r="38" spans="1:11" s="11" customFormat="1" ht="14.25" customHeight="1" x14ac:dyDescent="0.15">
      <c r="A38" s="176" t="s">
        <v>1002</v>
      </c>
      <c r="B38" s="177" t="s">
        <v>2377</v>
      </c>
      <c r="C38" s="178">
        <v>1905</v>
      </c>
      <c r="D38" s="178">
        <v>499</v>
      </c>
      <c r="E38" s="178">
        <v>111569</v>
      </c>
      <c r="F38" s="62">
        <f>E38/SUM(销售数据!H:H)</f>
        <v>1.91775920934464E-2</v>
      </c>
      <c r="G38" s="178">
        <v>74615</v>
      </c>
      <c r="H38" s="179">
        <f>IF(OR(E38=G38,AND(E38="",G38=0),AND(E38=0,G38="")),0%,IF(OR(G38="",G38=0),100%,(E38-G38)/ABS(G38)))</f>
        <v>0.49526234671312741</v>
      </c>
      <c r="I38" s="180">
        <f>IF(OR(D38=0,D38=""),0,E38/D38)</f>
        <v>223.58517034068137</v>
      </c>
      <c r="J38" s="181">
        <f>E38/C38</f>
        <v>58.566404199475066</v>
      </c>
      <c r="K38" s="1"/>
    </row>
    <row r="39" spans="1:11" s="86" customFormat="1" ht="14.25" customHeight="1" x14ac:dyDescent="0.3">
      <c r="A39" s="128" t="s">
        <v>153</v>
      </c>
      <c r="B39" s="98" t="s">
        <v>1977</v>
      </c>
      <c r="C39" s="143">
        <v>2000.83</v>
      </c>
      <c r="D39" s="143">
        <v>49</v>
      </c>
      <c r="E39" s="143">
        <v>114290</v>
      </c>
      <c r="F39" s="62">
        <f>E39/SUM(销售数据!H:H)</f>
        <v>1.9645304702560647E-2</v>
      </c>
      <c r="G39" s="143">
        <v>102022</v>
      </c>
      <c r="H39" s="27">
        <f>IF(OR(E39=G39,AND(E39="",G39=0),AND(E39=0,G39="")),0%,IF(OR(G39="",G39=0),100%,(E39-G39)/ABS(G39)))</f>
        <v>0.12024857383701555</v>
      </c>
      <c r="I39" s="143">
        <f t="shared" ref="I39" si="12">IF(OR(D39=0,D39=""),0,E39/D39)</f>
        <v>2332.4489795918366</v>
      </c>
      <c r="J39" s="122">
        <f>E39/C39</f>
        <v>57.121294662714973</v>
      </c>
      <c r="K39" s="1"/>
    </row>
    <row r="40" spans="1:11" ht="14.25" customHeight="1" x14ac:dyDescent="0.3">
      <c r="A40" s="128" t="s">
        <v>301</v>
      </c>
      <c r="B40" s="98" t="s">
        <v>1978</v>
      </c>
      <c r="C40" s="143">
        <v>1299.53</v>
      </c>
      <c r="D40" s="143">
        <v>121</v>
      </c>
      <c r="E40" s="143">
        <v>17948.7</v>
      </c>
      <c r="F40" s="62">
        <f>E40/SUM(销售数据!H:H)</f>
        <v>3.085201509448336E-3</v>
      </c>
      <c r="G40" s="143">
        <v>26217.599999999999</v>
      </c>
      <c r="H40" s="27">
        <f>IF(OR(E40=G40,AND(E40="",G40=0),AND(E40=0,G40="")),0%,IF(OR(G40="",G40=0),100%,(E40-G40)/ABS(G40)))</f>
        <v>-0.31539500183083113</v>
      </c>
      <c r="I40" s="143">
        <f t="shared" ref="I40" si="13">IF(OR(D40=0,D40=""),0,E40/D40)</f>
        <v>148.33636363636364</v>
      </c>
      <c r="J40" s="122">
        <f>E40/C40</f>
        <v>13.811685763314429</v>
      </c>
      <c r="K40" s="1"/>
    </row>
    <row r="41" spans="1:11" s="86" customFormat="1" ht="14.25" customHeight="1" x14ac:dyDescent="0.3">
      <c r="A41" s="128" t="s">
        <v>354</v>
      </c>
      <c r="B41" s="98" t="s">
        <v>2378</v>
      </c>
      <c r="C41" s="143">
        <v>1339.32</v>
      </c>
      <c r="D41" s="143">
        <v>104</v>
      </c>
      <c r="E41" s="143">
        <v>26717.1</v>
      </c>
      <c r="F41" s="62">
        <f>E41/SUM(销售数据!H:H)</f>
        <v>4.5924015247946724E-3</v>
      </c>
      <c r="G41" s="143">
        <v>23657.5</v>
      </c>
      <c r="H41" s="27">
        <f>IF(OR(E41=G41,AND(E41="",G41=0),AND(E41=0,G41="")),0%,IF(OR(G41="",G41=0),100%,(E41-G41)/ABS(G41)))</f>
        <v>0.1293289654443622</v>
      </c>
      <c r="I41" s="143">
        <f t="shared" ref="I41" si="14">IF(OR(D41=0,D41=""),0,E41/D41)</f>
        <v>256.8951923076923</v>
      </c>
      <c r="J41" s="122">
        <f>E41/C41</f>
        <v>19.948257324612491</v>
      </c>
      <c r="K41" s="1"/>
    </row>
    <row r="42" spans="1:11" s="86" customFormat="1" ht="14.25" customHeight="1" x14ac:dyDescent="0.3">
      <c r="A42" s="128" t="s">
        <v>355</v>
      </c>
      <c r="B42" s="98" t="s">
        <v>2379</v>
      </c>
      <c r="C42" s="143">
        <v>1020</v>
      </c>
      <c r="D42" s="143">
        <v>346</v>
      </c>
      <c r="E42" s="143">
        <v>56065.75</v>
      </c>
      <c r="F42" s="62">
        <f>E42/SUM(销售数据!H:H)</f>
        <v>9.6371401008626279E-3</v>
      </c>
      <c r="G42" s="143">
        <v>56706.21</v>
      </c>
      <c r="H42" s="27">
        <f>IF(OR(E42=G42,AND(E42="",G42=0),AND(E42=0,G42="")),0%,IF(OR(G42="",G42=0),100%,(E42-G42)/ABS(G42)))</f>
        <v>-1.1294353828266766E-2</v>
      </c>
      <c r="I42" s="143">
        <f t="shared" ref="I42" si="15">IF(OR(D42=0,D42=""),0,E42/D42)</f>
        <v>162.03973988439307</v>
      </c>
      <c r="J42" s="122">
        <f>E42/C42</f>
        <v>54.966421568627453</v>
      </c>
      <c r="K42" s="1"/>
    </row>
    <row r="43" spans="1:11" ht="14.25" customHeight="1" x14ac:dyDescent="0.15">
      <c r="A43" s="118" t="s">
        <v>117</v>
      </c>
      <c r="B43" s="98" t="s">
        <v>1979</v>
      </c>
      <c r="C43" s="143">
        <v>3045.33</v>
      </c>
      <c r="D43" s="143">
        <v>13</v>
      </c>
      <c r="E43" s="143">
        <v>9824</v>
      </c>
      <c r="F43" s="62">
        <f>E43/SUM(销售数据!H:H)</f>
        <v>1.6886470679670646E-3</v>
      </c>
      <c r="G43" s="143">
        <v>42190</v>
      </c>
      <c r="H43" s="27">
        <f t="shared" ref="H43:H51" si="16">IF(OR(E43=G43,AND(E43="",G43=0),AND(E43=0,G43="")),0%,IF(OR(G43="",G43=0),100%,(E43-G43)/ABS(G43)))</f>
        <v>-0.76714861341550133</v>
      </c>
      <c r="I43" s="143">
        <f t="shared" si="2"/>
        <v>755.69230769230774</v>
      </c>
      <c r="J43" s="122">
        <f t="shared" ref="J43:J51" si="17">E43/C43</f>
        <v>3.2259229705811849</v>
      </c>
      <c r="K43" s="1"/>
    </row>
    <row r="44" spans="1:11" ht="14.25" customHeight="1" x14ac:dyDescent="0.15">
      <c r="A44" s="118" t="s">
        <v>118</v>
      </c>
      <c r="B44" s="98" t="s">
        <v>2380</v>
      </c>
      <c r="C44" s="143">
        <v>1303.8599999999999</v>
      </c>
      <c r="D44" s="143">
        <v>381</v>
      </c>
      <c r="E44" s="143">
        <v>23627</v>
      </c>
      <c r="F44" s="62">
        <f>E44/SUM(销售数据!H:H)</f>
        <v>4.0612443276524671E-3</v>
      </c>
      <c r="G44" s="143">
        <v>21107</v>
      </c>
      <c r="H44" s="27">
        <f t="shared" si="16"/>
        <v>0.11939167100961766</v>
      </c>
      <c r="I44" s="143">
        <f t="shared" si="2"/>
        <v>62.01312335958005</v>
      </c>
      <c r="J44" s="122">
        <f t="shared" si="17"/>
        <v>18.120810516466491</v>
      </c>
      <c r="K44" s="1"/>
    </row>
    <row r="45" spans="1:11" s="86" customFormat="1" ht="14.25" customHeight="1" x14ac:dyDescent="0.15">
      <c r="A45" s="118" t="s">
        <v>1719</v>
      </c>
      <c r="B45" s="98" t="s">
        <v>1702</v>
      </c>
      <c r="C45" s="143">
        <v>827</v>
      </c>
      <c r="D45" s="143">
        <v>1</v>
      </c>
      <c r="E45" s="143">
        <v>500000</v>
      </c>
      <c r="F45" s="62">
        <f>E45/SUM(销售数据!H:H)</f>
        <v>8.5944985136760202E-2</v>
      </c>
      <c r="G45" s="143">
        <v>500000</v>
      </c>
      <c r="H45" s="27">
        <f t="shared" ref="H45" si="18">IF(OR(E45=G45,AND(E45="",G45=0),AND(E45=0,G45="")),0%,IF(OR(G45="",G45=0),100%,(E45-G45)/ABS(G45)))</f>
        <v>0</v>
      </c>
      <c r="I45" s="143">
        <f t="shared" ref="I45" si="19">IF(OR(D45=0,D45=""),0,E45/D45)</f>
        <v>500000</v>
      </c>
      <c r="J45" s="122">
        <f t="shared" ref="J45" si="20">E45/C45</f>
        <v>604.59492140266025</v>
      </c>
      <c r="K45" s="1"/>
    </row>
    <row r="46" spans="1:11" s="86" customFormat="1" ht="14.25" customHeight="1" x14ac:dyDescent="0.15">
      <c r="A46" s="118" t="s">
        <v>168</v>
      </c>
      <c r="B46" s="98" t="s">
        <v>1939</v>
      </c>
      <c r="C46" s="143">
        <v>4886.24</v>
      </c>
      <c r="D46" s="143">
        <v>2135</v>
      </c>
      <c r="E46" s="143">
        <v>153885</v>
      </c>
      <c r="F46" s="62">
        <f>E46/SUM(销售数据!H:H)</f>
        <v>2.6451288075540688E-2</v>
      </c>
      <c r="G46" s="143">
        <v>55920</v>
      </c>
      <c r="H46" s="27">
        <f t="shared" si="16"/>
        <v>1.7518776824034334</v>
      </c>
      <c r="I46" s="143">
        <f t="shared" si="2"/>
        <v>72.077283372365343</v>
      </c>
      <c r="J46" s="122">
        <f t="shared" si="17"/>
        <v>31.493541045875766</v>
      </c>
      <c r="K46" s="1"/>
    </row>
    <row r="47" spans="1:11" ht="14.25" customHeight="1" x14ac:dyDescent="0.15">
      <c r="A47" s="118" t="s">
        <v>346</v>
      </c>
      <c r="B47" s="98" t="s">
        <v>2381</v>
      </c>
      <c r="C47" s="143">
        <v>1061.92</v>
      </c>
      <c r="D47" s="143">
        <v>344</v>
      </c>
      <c r="E47" s="143">
        <v>53064</v>
      </c>
      <c r="F47" s="62">
        <f>E47/SUM(销售数据!H:H)</f>
        <v>9.1211693825940868E-3</v>
      </c>
      <c r="G47" s="143">
        <v>52940</v>
      </c>
      <c r="H47" s="27">
        <f t="shared" ref="H47" si="21">IF(OR(E47=G47,AND(E47="",G47=0),AND(E47=0,G47="")),0%,IF(OR(G47="",G47=0),100%,(E47-G47)/ABS(G47)))</f>
        <v>2.3422742727616168E-3</v>
      </c>
      <c r="I47" s="143">
        <f t="shared" ref="I47" si="22">IF(OR(D47=0,D47=""),0,E47/D47)</f>
        <v>154.25581395348837</v>
      </c>
      <c r="J47" s="122">
        <f t="shared" ref="J47" si="23">E47/C47</f>
        <v>49.969865903269543</v>
      </c>
      <c r="K47" s="1"/>
    </row>
    <row r="48" spans="1:11" ht="14.25" customHeight="1" x14ac:dyDescent="0.15">
      <c r="A48" s="118" t="s">
        <v>119</v>
      </c>
      <c r="B48" s="98" t="s">
        <v>2382</v>
      </c>
      <c r="C48" s="143">
        <v>4996.6400000000003</v>
      </c>
      <c r="D48" s="143">
        <v>2</v>
      </c>
      <c r="E48" s="143">
        <v>27882</v>
      </c>
      <c r="F48" s="62">
        <f>E48/SUM(销售数据!H:H)</f>
        <v>4.7926361511662959E-3</v>
      </c>
      <c r="G48" s="143">
        <v>11097</v>
      </c>
      <c r="H48" s="27">
        <f t="shared" si="16"/>
        <v>1.5125709651257095</v>
      </c>
      <c r="I48" s="143">
        <f t="shared" si="2"/>
        <v>13941</v>
      </c>
      <c r="J48" s="122">
        <f t="shared" si="17"/>
        <v>5.5801498607063946</v>
      </c>
      <c r="K48" s="1"/>
    </row>
    <row r="49" spans="1:11" s="3" customFormat="1" ht="14.25" customHeight="1" x14ac:dyDescent="0.15">
      <c r="A49" s="118" t="s">
        <v>120</v>
      </c>
      <c r="B49" s="98" t="s">
        <v>2383</v>
      </c>
      <c r="C49" s="143">
        <v>2666</v>
      </c>
      <c r="D49" s="143">
        <v>91</v>
      </c>
      <c r="E49" s="143">
        <v>28666</v>
      </c>
      <c r="F49" s="62">
        <f>E49/SUM(销售数据!H:H)</f>
        <v>4.9273978878607363E-3</v>
      </c>
      <c r="G49" s="143">
        <v>37350</v>
      </c>
      <c r="H49" s="27">
        <f t="shared" si="16"/>
        <v>-0.23250334672021419</v>
      </c>
      <c r="I49" s="143">
        <f t="shared" si="2"/>
        <v>315.01098901098902</v>
      </c>
      <c r="J49" s="122">
        <f t="shared" si="17"/>
        <v>10.752438109527382</v>
      </c>
      <c r="K49" s="1"/>
    </row>
    <row r="50" spans="1:11" s="3" customFormat="1" ht="14.25" customHeight="1" x14ac:dyDescent="0.15">
      <c r="A50" s="118" t="s">
        <v>159</v>
      </c>
      <c r="B50" s="98" t="s">
        <v>2384</v>
      </c>
      <c r="C50" s="143">
        <v>6883.53</v>
      </c>
      <c r="D50" s="143"/>
      <c r="E50" s="143"/>
      <c r="F50" s="62">
        <f>E50/SUM(销售数据!H:H)</f>
        <v>0</v>
      </c>
      <c r="G50" s="143"/>
      <c r="H50" s="27">
        <f t="shared" si="16"/>
        <v>0</v>
      </c>
      <c r="I50" s="143">
        <f t="shared" si="2"/>
        <v>0</v>
      </c>
      <c r="J50" s="122">
        <f t="shared" si="17"/>
        <v>0</v>
      </c>
      <c r="K50" s="1"/>
    </row>
    <row r="51" spans="1:11" s="3" customFormat="1" ht="14.25" customHeight="1" x14ac:dyDescent="0.15">
      <c r="A51" s="133" t="s">
        <v>121</v>
      </c>
      <c r="B51" s="97" t="s">
        <v>2385</v>
      </c>
      <c r="C51" s="164">
        <v>3152.89</v>
      </c>
      <c r="D51" s="164">
        <v>93</v>
      </c>
      <c r="E51" s="164">
        <v>17096</v>
      </c>
      <c r="F51" s="114">
        <f>E51/SUM(销售数据!H:H)</f>
        <v>2.9386309317961049E-3</v>
      </c>
      <c r="G51" s="164">
        <v>23107</v>
      </c>
      <c r="H51" s="29">
        <f t="shared" si="16"/>
        <v>-0.26013762063443979</v>
      </c>
      <c r="I51" s="164">
        <f t="shared" si="2"/>
        <v>183.8279569892473</v>
      </c>
      <c r="J51" s="127">
        <f t="shared" si="17"/>
        <v>5.4223268176181216</v>
      </c>
      <c r="K51" s="1"/>
    </row>
    <row r="52" spans="1:11" ht="14.25" customHeight="1" x14ac:dyDescent="0.15">
      <c r="A52" s="5"/>
      <c r="B52" s="5"/>
      <c r="C52" s="144"/>
      <c r="D52" s="161"/>
      <c r="E52" s="5"/>
      <c r="F52" s="5"/>
      <c r="G52" s="3"/>
      <c r="I52" s="3"/>
      <c r="J52" s="3"/>
    </row>
    <row r="53" spans="1:11" ht="14.25" customHeight="1" x14ac:dyDescent="0.15">
      <c r="A53" s="322" t="s">
        <v>66</v>
      </c>
      <c r="B53" s="323"/>
      <c r="C53" s="323"/>
      <c r="D53" s="323"/>
      <c r="E53" s="323"/>
      <c r="F53" s="323"/>
      <c r="G53" s="323"/>
      <c r="H53" s="323"/>
      <c r="I53" s="323"/>
      <c r="J53" s="324"/>
    </row>
    <row r="54" spans="1:11" s="3" customFormat="1" ht="14.25" customHeight="1" x14ac:dyDescent="0.15">
      <c r="A54" s="48" t="s">
        <v>116</v>
      </c>
      <c r="B54" s="49" t="s">
        <v>56</v>
      </c>
      <c r="C54" s="145" t="s">
        <v>57</v>
      </c>
      <c r="D54" s="162" t="s">
        <v>58</v>
      </c>
      <c r="E54" s="50" t="s">
        <v>59</v>
      </c>
      <c r="F54" s="104" t="s">
        <v>64</v>
      </c>
      <c r="G54" s="49" t="s">
        <v>60</v>
      </c>
      <c r="H54" s="51" t="s">
        <v>61</v>
      </c>
      <c r="I54" s="51" t="s">
        <v>62</v>
      </c>
      <c r="J54" s="52" t="s">
        <v>63</v>
      </c>
    </row>
    <row r="55" spans="1:11" ht="14.25" customHeight="1" x14ac:dyDescent="0.15">
      <c r="A55" s="47" t="s">
        <v>65</v>
      </c>
      <c r="B55" s="45"/>
      <c r="C55" s="146">
        <f>SUM(C56:C138)</f>
        <v>3936.4</v>
      </c>
      <c r="D55" s="146">
        <f>SUM(D56:D138)</f>
        <v>4159</v>
      </c>
      <c r="E55" s="46">
        <f>SUM(E56:E138)</f>
        <v>473078.60000000003</v>
      </c>
      <c r="F55" s="105">
        <f>SUM(F56:F138)</f>
        <v>1</v>
      </c>
      <c r="G55" s="46">
        <f>SUM(G56:G138)</f>
        <v>508098.08</v>
      </c>
      <c r="H55" s="44">
        <f t="shared" ref="H55" si="24">IF(OR(E55=G55,AND(E55="",G55=0),AND(E55=0,G55="")),0%,IF(OR(G55="",G55=0),100%,(E55-G55)/ABS(G55)))</f>
        <v>-6.8922677290967085E-2</v>
      </c>
      <c r="I55" s="79">
        <f t="shared" ref="I55" si="25">IF(OR(D55=0,D55=""),0,E55/D55)</f>
        <v>113.74816061553258</v>
      </c>
      <c r="J55" s="72">
        <f t="shared" ref="J55:J78" si="26">E55/C55</f>
        <v>120.18052027233006</v>
      </c>
    </row>
    <row r="56" spans="1:11" s="86" customFormat="1" ht="14.25" customHeight="1" x14ac:dyDescent="0.15">
      <c r="A56" s="118" t="s">
        <v>1085</v>
      </c>
      <c r="B56" s="189" t="s">
        <v>1980</v>
      </c>
      <c r="C56" s="143">
        <v>90.58</v>
      </c>
      <c r="D56" s="143">
        <v>65</v>
      </c>
      <c r="E56" s="143">
        <v>11917.1</v>
      </c>
      <c r="F56" s="120">
        <f t="shared" ref="F56" si="27">E56/E$55</f>
        <v>2.5190528592923034E-2</v>
      </c>
      <c r="G56" s="143">
        <v>9020.5</v>
      </c>
      <c r="H56" s="109">
        <f t="shared" ref="H56" si="28">IF(OR(E56=G56,AND(E56="",G56=0),AND(E56=0,G56="")),0%,IF(OR(G56="",G56=0),100%,(E56-G56)/ABS(G56)))</f>
        <v>0.32111302034255312</v>
      </c>
      <c r="I56" s="143">
        <f t="shared" ref="I56" si="29">IF(OR(D56=0,D56=""),0,E56/D56)</f>
        <v>183.34</v>
      </c>
      <c r="J56" s="122">
        <f t="shared" ref="J56" si="30">E56/C56</f>
        <v>131.56436299403842</v>
      </c>
    </row>
    <row r="57" spans="1:11" s="86" customFormat="1" ht="14.25" customHeight="1" x14ac:dyDescent="0.15">
      <c r="A57" s="118" t="s">
        <v>754</v>
      </c>
      <c r="B57" s="189" t="s">
        <v>2386</v>
      </c>
      <c r="C57" s="143">
        <v>35.65</v>
      </c>
      <c r="D57" s="143">
        <v>11</v>
      </c>
      <c r="E57" s="143">
        <v>5055</v>
      </c>
      <c r="F57" s="120">
        <f t="shared" ref="F57:F59" si="31">E57/E$55</f>
        <v>1.0685327977211397E-2</v>
      </c>
      <c r="G57" s="143">
        <v>1143</v>
      </c>
      <c r="H57" s="109">
        <f t="shared" ref="H57:H60" si="32">IF(OR(E57=G57,AND(E57="",G57=0),AND(E57=0,G57="")),0%,IF(OR(G57="",G57=0),100%,(E57-G57)/ABS(G57)))</f>
        <v>3.4225721784776901</v>
      </c>
      <c r="I57" s="143">
        <f t="shared" ref="I57:I59" si="33">IF(OR(D57=0,D57=""),0,E57/D57)</f>
        <v>459.54545454545456</v>
      </c>
      <c r="J57" s="122">
        <f t="shared" ref="J57:J59" si="34">E57/C57</f>
        <v>141.7952314165498</v>
      </c>
    </row>
    <row r="58" spans="1:11" s="86" customFormat="1" ht="14.25" customHeight="1" x14ac:dyDescent="0.15">
      <c r="A58" s="118" t="s">
        <v>1041</v>
      </c>
      <c r="B58" s="189" t="s">
        <v>2387</v>
      </c>
      <c r="C58" s="143">
        <v>31.21</v>
      </c>
      <c r="D58" s="143">
        <v>15</v>
      </c>
      <c r="E58" s="143">
        <v>14066</v>
      </c>
      <c r="F58" s="120">
        <f t="shared" si="31"/>
        <v>2.9732902735401683E-2</v>
      </c>
      <c r="G58" s="143">
        <v>11608</v>
      </c>
      <c r="H58" s="109">
        <f t="shared" si="32"/>
        <v>0.21175051688490695</v>
      </c>
      <c r="I58" s="143">
        <f t="shared" si="33"/>
        <v>937.73333333333335</v>
      </c>
      <c r="J58" s="122">
        <f t="shared" si="34"/>
        <v>450.68888176866386</v>
      </c>
    </row>
    <row r="59" spans="1:11" s="86" customFormat="1" ht="14.25" customHeight="1" x14ac:dyDescent="0.15">
      <c r="A59" s="118" t="s">
        <v>554</v>
      </c>
      <c r="B59" s="98" t="s">
        <v>2388</v>
      </c>
      <c r="C59" s="143">
        <v>51.68</v>
      </c>
      <c r="D59" s="143">
        <v>65</v>
      </c>
      <c r="E59" s="143">
        <v>6168.1</v>
      </c>
      <c r="F59" s="120">
        <f t="shared" si="31"/>
        <v>1.3038213945843249E-2</v>
      </c>
      <c r="G59" s="143">
        <v>3602.9</v>
      </c>
      <c r="H59" s="109">
        <f t="shared" si="32"/>
        <v>0.71198201448832887</v>
      </c>
      <c r="I59" s="143">
        <f t="shared" si="33"/>
        <v>94.893846153846155</v>
      </c>
      <c r="J59" s="122">
        <f t="shared" si="34"/>
        <v>119.35178018575853</v>
      </c>
    </row>
    <row r="60" spans="1:11" s="86" customFormat="1" ht="14.25" customHeight="1" x14ac:dyDescent="0.15">
      <c r="A60" s="118" t="s">
        <v>910</v>
      </c>
      <c r="B60" s="98" t="s">
        <v>1981</v>
      </c>
      <c r="C60" s="143">
        <v>46.85</v>
      </c>
      <c r="D60" s="143">
        <v>26</v>
      </c>
      <c r="E60" s="143">
        <v>12521</v>
      </c>
      <c r="F60" s="120">
        <f t="shared" ref="F60" si="35">E60/E$55</f>
        <v>2.6467060653345975E-2</v>
      </c>
      <c r="G60" s="143">
        <v>12144</v>
      </c>
      <c r="H60" s="109">
        <f t="shared" si="32"/>
        <v>3.1044137022397892E-2</v>
      </c>
      <c r="I60" s="143">
        <f t="shared" ref="I60" si="36">IF(OR(D60=0,D60=""),0,E60/D60)</f>
        <v>481.57692307692309</v>
      </c>
      <c r="J60" s="122">
        <f t="shared" ref="J60" si="37">E60/C60</f>
        <v>267.25720384204908</v>
      </c>
    </row>
    <row r="61" spans="1:11" s="86" customFormat="1" ht="14.25" customHeight="1" x14ac:dyDescent="0.15">
      <c r="A61" s="118" t="s">
        <v>1721</v>
      </c>
      <c r="B61" s="98" t="s">
        <v>1982</v>
      </c>
      <c r="C61" s="143">
        <v>80</v>
      </c>
      <c r="D61" s="143">
        <v>19</v>
      </c>
      <c r="E61" s="143">
        <v>6069.8</v>
      </c>
      <c r="F61" s="120">
        <f t="shared" ref="F61" si="38">E61/E$55</f>
        <v>1.2830426064505983E-2</v>
      </c>
      <c r="G61" s="143">
        <v>9369.1</v>
      </c>
      <c r="H61" s="109">
        <f t="shared" ref="H61" si="39">IF(OR(E61=G61,AND(E61="",G61=0),AND(E61=0,G61="")),0%,IF(OR(G61="",G61=0),100%,(E61-G61)/ABS(G61)))</f>
        <v>-0.35214695114792244</v>
      </c>
      <c r="I61" s="143">
        <f t="shared" ref="I61" si="40">IF(OR(D61=0,D61=""),0,E61/D61)</f>
        <v>319.46315789473687</v>
      </c>
      <c r="J61" s="122">
        <f t="shared" ref="J61" si="41">E61/C61</f>
        <v>75.872500000000002</v>
      </c>
    </row>
    <row r="62" spans="1:11" ht="14.25" customHeight="1" x14ac:dyDescent="0.15">
      <c r="A62" s="118" t="s">
        <v>249</v>
      </c>
      <c r="B62" s="98" t="s">
        <v>1983</v>
      </c>
      <c r="C62" s="143">
        <v>42.06</v>
      </c>
      <c r="D62" s="143">
        <v>3</v>
      </c>
      <c r="E62" s="143">
        <v>3940</v>
      </c>
      <c r="F62" s="120">
        <f t="shared" ref="F62:F112" si="42">E62/E$55</f>
        <v>8.328425762653394E-3</v>
      </c>
      <c r="G62" s="143">
        <v>11790</v>
      </c>
      <c r="H62" s="109">
        <f t="shared" ref="H62:H97" si="43">IF(OR(E62=G62,AND(E62="",G62=0),AND(E62=0,G62="")),0%,IF(OR(G62="",G62=0),100%,(E62-G62)/ABS(G62)))</f>
        <v>-0.66581849024597117</v>
      </c>
      <c r="I62" s="143">
        <f t="shared" ref="I62:I78" si="44">IF(OR(D62=0,D62=""),0,E62/D62)</f>
        <v>1313.3333333333333</v>
      </c>
      <c r="J62" s="122">
        <f t="shared" si="26"/>
        <v>93.675701378982396</v>
      </c>
    </row>
    <row r="63" spans="1:11" s="86" customFormat="1" ht="14.25" customHeight="1" x14ac:dyDescent="0.15">
      <c r="A63" s="118" t="s">
        <v>1116</v>
      </c>
      <c r="B63" s="98" t="s">
        <v>1984</v>
      </c>
      <c r="C63" s="143">
        <v>19</v>
      </c>
      <c r="D63" s="143">
        <v>9</v>
      </c>
      <c r="E63" s="143">
        <v>4524.8999999999996</v>
      </c>
      <c r="F63" s="120">
        <f t="shared" ref="F63" si="45">E63/E$55</f>
        <v>9.5647953638148056E-3</v>
      </c>
      <c r="G63" s="143">
        <v>2435.9</v>
      </c>
      <c r="H63" s="109">
        <f t="shared" ref="H63" si="46">IF(OR(E63=G63,AND(E63="",G63=0),AND(E63=0,G63="")),0%,IF(OR(G63="",G63=0),100%,(E63-G63)/ABS(G63)))</f>
        <v>0.85758857095939878</v>
      </c>
      <c r="I63" s="143">
        <f t="shared" ref="I63" si="47">IF(OR(D63=0,D63=""),0,E63/D63)</f>
        <v>502.76666666666665</v>
      </c>
      <c r="J63" s="122">
        <f t="shared" ref="J63" si="48">E63/C63</f>
        <v>238.15263157894734</v>
      </c>
    </row>
    <row r="64" spans="1:11" s="86" customFormat="1" ht="14.25" customHeight="1" x14ac:dyDescent="0.15">
      <c r="A64" s="118" t="s">
        <v>259</v>
      </c>
      <c r="B64" s="98" t="s">
        <v>1985</v>
      </c>
      <c r="C64" s="143">
        <v>176.7</v>
      </c>
      <c r="D64" s="143">
        <v>28</v>
      </c>
      <c r="E64" s="143">
        <v>10531</v>
      </c>
      <c r="F64" s="120">
        <f t="shared" si="42"/>
        <v>2.2260571499112407E-2</v>
      </c>
      <c r="G64" s="143">
        <v>8055</v>
      </c>
      <c r="H64" s="109">
        <f t="shared" si="43"/>
        <v>0.30738671632526382</v>
      </c>
      <c r="I64" s="143">
        <f t="shared" si="44"/>
        <v>376.10714285714283</v>
      </c>
      <c r="J64" s="122">
        <f t="shared" si="26"/>
        <v>59.598189020939451</v>
      </c>
    </row>
    <row r="65" spans="1:10" s="86" customFormat="1" ht="14.25" customHeight="1" x14ac:dyDescent="0.15">
      <c r="A65" s="118" t="s">
        <v>321</v>
      </c>
      <c r="B65" s="98" t="s">
        <v>1986</v>
      </c>
      <c r="C65" s="143">
        <v>120</v>
      </c>
      <c r="D65" s="143">
        <v>7</v>
      </c>
      <c r="E65" s="143">
        <v>14120</v>
      </c>
      <c r="F65" s="120">
        <f t="shared" ref="F65" si="49">E65/E$55</f>
        <v>2.9847048672250232E-2</v>
      </c>
      <c r="G65" s="143">
        <v>13040</v>
      </c>
      <c r="H65" s="109">
        <f t="shared" ref="H65" si="50">IF(OR(E65=G65,AND(E65="",G65=0),AND(E65=0,G65="")),0%,IF(OR(G65="",G65=0),100%,(E65-G65)/ABS(G65)))</f>
        <v>8.2822085889570546E-2</v>
      </c>
      <c r="I65" s="143">
        <f t="shared" ref="I65" si="51">IF(OR(D65=0,D65=""),0,E65/D65)</f>
        <v>2017.1428571428571</v>
      </c>
      <c r="J65" s="122">
        <f t="shared" ref="J65" si="52">E65/C65</f>
        <v>117.66666666666667</v>
      </c>
    </row>
    <row r="66" spans="1:10" s="86" customFormat="1" ht="14.25" customHeight="1" x14ac:dyDescent="0.15">
      <c r="A66" s="118" t="s">
        <v>1622</v>
      </c>
      <c r="B66" s="98" t="s">
        <v>1987</v>
      </c>
      <c r="C66" s="143">
        <v>78.430000000000007</v>
      </c>
      <c r="D66" s="143">
        <v>66</v>
      </c>
      <c r="E66" s="143">
        <v>5246</v>
      </c>
      <c r="F66" s="120">
        <f t="shared" ref="F66" si="53">E66/E$55</f>
        <v>1.1089066383472006E-2</v>
      </c>
      <c r="G66" s="143">
        <v>4303</v>
      </c>
      <c r="H66" s="109">
        <f t="shared" ref="H66" si="54">IF(OR(E66=G66,AND(E66="",G66=0),AND(E66=0,G66="")),0%,IF(OR(G66="",G66=0),100%,(E66-G66)/ABS(G66)))</f>
        <v>0.21914943062979317</v>
      </c>
      <c r="I66" s="143">
        <f t="shared" ref="I66" si="55">IF(OR(D66=0,D66=""),0,E66/D66)</f>
        <v>79.484848484848484</v>
      </c>
      <c r="J66" s="122">
        <f t="shared" ref="J66" si="56">E66/C66</f>
        <v>66.887670534234346</v>
      </c>
    </row>
    <row r="67" spans="1:10" s="86" customFormat="1" ht="14.25" customHeight="1" x14ac:dyDescent="0.15">
      <c r="A67" s="118" t="s">
        <v>316</v>
      </c>
      <c r="B67" s="98" t="s">
        <v>2389</v>
      </c>
      <c r="C67" s="143">
        <v>88.82</v>
      </c>
      <c r="D67" s="143">
        <v>238</v>
      </c>
      <c r="E67" s="143">
        <v>6927.2</v>
      </c>
      <c r="F67" s="120">
        <f>E67/E$55</f>
        <v>1.46428098840235E-2</v>
      </c>
      <c r="G67" s="143">
        <v>7133.4</v>
      </c>
      <c r="H67" s="109">
        <f t="shared" ref="H67" si="57">IF(OR(E67=G67,AND(E67="",G67=0),AND(E67=0,G67="")),0%,IF(OR(G67="",G67=0),100%,(E67-G67)/ABS(G67)))</f>
        <v>-2.8906271904000871E-2</v>
      </c>
      <c r="I67" s="143">
        <f t="shared" ref="I67" si="58">IF(OR(D67=0,D67=""),0,E67/D67)</f>
        <v>29.105882352941176</v>
      </c>
      <c r="J67" s="122">
        <f t="shared" ref="J67" si="59">E67/C67</f>
        <v>77.991443368610675</v>
      </c>
    </row>
    <row r="68" spans="1:10" s="86" customFormat="1" ht="14.25" customHeight="1" x14ac:dyDescent="0.15">
      <c r="A68" s="118" t="s">
        <v>742</v>
      </c>
      <c r="B68" s="98" t="s">
        <v>1988</v>
      </c>
      <c r="C68" s="143">
        <v>76.64</v>
      </c>
      <c r="D68" s="143">
        <v>55</v>
      </c>
      <c r="E68" s="143">
        <v>37190</v>
      </c>
      <c r="F68" s="120">
        <f t="shared" ref="F68" si="60">E68/E$55</f>
        <v>7.8612729470324799E-2</v>
      </c>
      <c r="G68" s="143">
        <v>16059</v>
      </c>
      <c r="H68" s="109">
        <f t="shared" ref="H68" si="61">IF(OR(E68=G68,AND(E68="",G68=0),AND(E68=0,G68="")),0%,IF(OR(G68="",G68=0),100%,(E68-G68)/ABS(G68)))</f>
        <v>1.3158353571206178</v>
      </c>
      <c r="I68" s="143">
        <f t="shared" ref="I68" si="62">IF(OR(D68=0,D68=""),0,E68/D68)</f>
        <v>676.18181818181813</v>
      </c>
      <c r="J68" s="122">
        <f t="shared" ref="J68" si="63">E68/C68</f>
        <v>485.25574112734864</v>
      </c>
    </row>
    <row r="69" spans="1:10" s="86" customFormat="1" ht="14.25" customHeight="1" x14ac:dyDescent="0.15">
      <c r="A69" s="118" t="s">
        <v>738</v>
      </c>
      <c r="B69" s="98" t="s">
        <v>1989</v>
      </c>
      <c r="C69" s="143">
        <v>20.34</v>
      </c>
      <c r="D69" s="143"/>
      <c r="E69" s="143"/>
      <c r="F69" s="120">
        <f t="shared" ref="F69" si="64">E69/E$55</f>
        <v>0</v>
      </c>
      <c r="G69" s="143"/>
      <c r="H69" s="109">
        <f t="shared" ref="H69" si="65">IF(OR(E69=G69,AND(E69="",G69=0),AND(E69=0,G69="")),0%,IF(OR(G69="",G69=0),100%,(E69-G69)/ABS(G69)))</f>
        <v>0</v>
      </c>
      <c r="I69" s="143">
        <f t="shared" ref="I69" si="66">IF(OR(D69=0,D69=""),0,E69/D69)</f>
        <v>0</v>
      </c>
      <c r="J69" s="122">
        <f t="shared" ref="J69" si="67">E69/C69</f>
        <v>0</v>
      </c>
    </row>
    <row r="70" spans="1:10" s="86" customFormat="1" ht="14.25" customHeight="1" x14ac:dyDescent="0.15">
      <c r="A70" s="118" t="s">
        <v>1813</v>
      </c>
      <c r="B70" s="98" t="s">
        <v>1990</v>
      </c>
      <c r="C70" s="143">
        <v>20.34</v>
      </c>
      <c r="D70" s="143">
        <v>2</v>
      </c>
      <c r="E70" s="143">
        <v>1963</v>
      </c>
      <c r="F70" s="120">
        <f t="shared" ref="F70" si="68">E70/E$55</f>
        <v>4.149416185809292E-3</v>
      </c>
      <c r="G70" s="143">
        <v>7175</v>
      </c>
      <c r="H70" s="109">
        <f t="shared" ref="H70" si="69">IF(OR(E70=G70,AND(E70="",G70=0),AND(E70=0,G70="")),0%,IF(OR(G70="",G70=0),100%,(E70-G70)/ABS(G70)))</f>
        <v>-0.72641114982578392</v>
      </c>
      <c r="I70" s="143">
        <f t="shared" ref="I70" si="70">IF(OR(D70=0,D70=""),0,E70/D70)</f>
        <v>981.5</v>
      </c>
      <c r="J70" s="122">
        <f t="shared" ref="J70" si="71">E70/C70</f>
        <v>96.509341199606681</v>
      </c>
    </row>
    <row r="71" spans="1:10" s="86" customFormat="1" ht="14.25" customHeight="1" x14ac:dyDescent="0.15">
      <c r="A71" s="118" t="s">
        <v>764</v>
      </c>
      <c r="B71" s="98" t="s">
        <v>2390</v>
      </c>
      <c r="C71" s="143">
        <v>18</v>
      </c>
      <c r="D71" s="143"/>
      <c r="E71" s="143"/>
      <c r="F71" s="120">
        <f t="shared" si="42"/>
        <v>0</v>
      </c>
      <c r="G71" s="143"/>
      <c r="H71" s="109">
        <f t="shared" si="43"/>
        <v>0</v>
      </c>
      <c r="I71" s="143">
        <f t="shared" si="44"/>
        <v>0</v>
      </c>
      <c r="J71" s="122">
        <f t="shared" si="26"/>
        <v>0</v>
      </c>
    </row>
    <row r="72" spans="1:10" s="86" customFormat="1" ht="14.25" customHeight="1" x14ac:dyDescent="0.15">
      <c r="A72" s="118" t="s">
        <v>1820</v>
      </c>
      <c r="B72" s="98" t="s">
        <v>2343</v>
      </c>
      <c r="C72" s="143">
        <v>18</v>
      </c>
      <c r="D72" s="143">
        <v>2</v>
      </c>
      <c r="E72" s="143">
        <v>5080</v>
      </c>
      <c r="F72" s="120">
        <f t="shared" ref="F72" si="72">E72/E$55</f>
        <v>1.0738173318344984E-2</v>
      </c>
      <c r="G72" s="143">
        <v>1390</v>
      </c>
      <c r="H72" s="109">
        <f t="shared" ref="H72" si="73">IF(OR(E72=G72,AND(E72="",G72=0),AND(E72=0,G72="")),0%,IF(OR(G72="",G72=0),100%,(E72-G72)/ABS(G72)))</f>
        <v>2.6546762589928057</v>
      </c>
      <c r="I72" s="143">
        <f t="shared" ref="I72" si="74">IF(OR(D72=0,D72=""),0,E72/D72)</f>
        <v>2540</v>
      </c>
      <c r="J72" s="122">
        <f t="shared" ref="J72" si="75">E72/C72</f>
        <v>282.22222222222223</v>
      </c>
    </row>
    <row r="73" spans="1:10" s="86" customFormat="1" ht="14.25" customHeight="1" x14ac:dyDescent="0.15">
      <c r="A73" s="118" t="s">
        <v>250</v>
      </c>
      <c r="B73" s="98" t="s">
        <v>2391</v>
      </c>
      <c r="C73" s="143">
        <v>19.7</v>
      </c>
      <c r="D73" s="143"/>
      <c r="E73" s="143"/>
      <c r="F73" s="120">
        <f t="shared" si="42"/>
        <v>0</v>
      </c>
      <c r="G73" s="143"/>
      <c r="H73" s="109">
        <f t="shared" si="43"/>
        <v>0</v>
      </c>
      <c r="I73" s="143">
        <f t="shared" si="44"/>
        <v>0</v>
      </c>
      <c r="J73" s="122">
        <f t="shared" si="26"/>
        <v>0</v>
      </c>
    </row>
    <row r="74" spans="1:10" s="86" customFormat="1" ht="14.25" customHeight="1" x14ac:dyDescent="0.15">
      <c r="A74" s="118" t="s">
        <v>736</v>
      </c>
      <c r="B74" s="98" t="s">
        <v>2344</v>
      </c>
      <c r="C74" s="143">
        <v>20</v>
      </c>
      <c r="D74" s="143">
        <v>9</v>
      </c>
      <c r="E74" s="143">
        <v>2344.8000000000002</v>
      </c>
      <c r="F74" s="120">
        <f t="shared" ref="F74" si="76">E74/E$55</f>
        <v>4.9564702356014413E-3</v>
      </c>
      <c r="G74" s="143">
        <v>454.1</v>
      </c>
      <c r="H74" s="109">
        <f t="shared" ref="H74" si="77">IF(OR(E74=G74,AND(E74="",G74=0),AND(E74=0,G74="")),0%,IF(OR(G74="",G74=0),100%,(E74-G74)/ABS(G74)))</f>
        <v>4.1636203479409826</v>
      </c>
      <c r="I74" s="143">
        <f t="shared" ref="I74" si="78">IF(OR(D74=0,D74=""),0,E74/D74)</f>
        <v>260.53333333333336</v>
      </c>
      <c r="J74" s="122">
        <f t="shared" ref="J74" si="79">E74/C74</f>
        <v>117.24000000000001</v>
      </c>
    </row>
    <row r="75" spans="1:10" ht="14.25" customHeight="1" x14ac:dyDescent="0.15">
      <c r="A75" s="118" t="s">
        <v>312</v>
      </c>
      <c r="B75" s="98" t="s">
        <v>1991</v>
      </c>
      <c r="C75" s="143">
        <v>67</v>
      </c>
      <c r="D75" s="143">
        <v>458</v>
      </c>
      <c r="E75" s="143">
        <v>14711.7</v>
      </c>
      <c r="F75" s="120">
        <f t="shared" si="42"/>
        <v>3.1097792206199983E-2</v>
      </c>
      <c r="G75" s="143">
        <v>68285</v>
      </c>
      <c r="H75" s="109">
        <f t="shared" si="43"/>
        <v>-0.78455444094603499</v>
      </c>
      <c r="I75" s="143">
        <f t="shared" si="44"/>
        <v>32.121615720524019</v>
      </c>
      <c r="J75" s="122">
        <f t="shared" si="26"/>
        <v>219.57761194029851</v>
      </c>
    </row>
    <row r="76" spans="1:10" s="86" customFormat="1" ht="14.25" customHeight="1" x14ac:dyDescent="0.15">
      <c r="A76" s="118" t="s">
        <v>284</v>
      </c>
      <c r="B76" s="98" t="s">
        <v>1992</v>
      </c>
      <c r="C76" s="143">
        <v>32</v>
      </c>
      <c r="D76" s="143">
        <v>14</v>
      </c>
      <c r="E76" s="143">
        <v>3470.7</v>
      </c>
      <c r="F76" s="120">
        <f t="shared" si="42"/>
        <v>7.3364130188936878E-3</v>
      </c>
      <c r="G76" s="143">
        <v>2625.4</v>
      </c>
      <c r="H76" s="109">
        <f t="shared" si="43"/>
        <v>0.32196998552601497</v>
      </c>
      <c r="I76" s="143">
        <f t="shared" si="44"/>
        <v>247.90714285714284</v>
      </c>
      <c r="J76" s="122">
        <f t="shared" si="26"/>
        <v>108.45937499999999</v>
      </c>
    </row>
    <row r="77" spans="1:10" s="86" customFormat="1" ht="14.25" customHeight="1" x14ac:dyDescent="0.15">
      <c r="A77" s="118" t="s">
        <v>1623</v>
      </c>
      <c r="B77" s="98" t="s">
        <v>1993</v>
      </c>
      <c r="C77" s="143">
        <v>14.95</v>
      </c>
      <c r="D77" s="143">
        <v>23</v>
      </c>
      <c r="E77" s="143">
        <v>1375.5</v>
      </c>
      <c r="F77" s="120">
        <f t="shared" ref="F77" si="80">E77/E$55</f>
        <v>2.9075506691699855E-3</v>
      </c>
      <c r="G77" s="143">
        <v>1422.6</v>
      </c>
      <c r="H77" s="109">
        <f t="shared" ref="H77" si="81">IF(OR(E77=G77,AND(E77="",G77=0),AND(E77=0,G77="")),0%,IF(OR(G77="",G77=0),100%,(E77-G77)/ABS(G77)))</f>
        <v>-3.3108393083087245E-2</v>
      </c>
      <c r="I77" s="143">
        <f t="shared" ref="I77" si="82">IF(OR(D77=0,D77=""),0,E77/D77)</f>
        <v>59.804347826086953</v>
      </c>
      <c r="J77" s="122">
        <f t="shared" ref="J77" si="83">E77/C77</f>
        <v>92.006688963210706</v>
      </c>
    </row>
    <row r="78" spans="1:10" s="86" customFormat="1" ht="14.25" customHeight="1" x14ac:dyDescent="0.15">
      <c r="A78" s="118" t="s">
        <v>285</v>
      </c>
      <c r="B78" s="98" t="s">
        <v>2392</v>
      </c>
      <c r="C78" s="143">
        <v>24.5</v>
      </c>
      <c r="D78" s="143">
        <v>153</v>
      </c>
      <c r="E78" s="143">
        <v>3907</v>
      </c>
      <c r="F78" s="120">
        <f t="shared" si="42"/>
        <v>8.2586699123570577E-3</v>
      </c>
      <c r="G78" s="143">
        <v>3782</v>
      </c>
      <c r="H78" s="109">
        <f t="shared" si="43"/>
        <v>3.3051295610787942E-2</v>
      </c>
      <c r="I78" s="143">
        <f t="shared" si="44"/>
        <v>25.535947712418302</v>
      </c>
      <c r="J78" s="122">
        <f t="shared" si="26"/>
        <v>159.46938775510205</v>
      </c>
    </row>
    <row r="79" spans="1:10" s="86" customFormat="1" ht="14.25" customHeight="1" x14ac:dyDescent="0.15">
      <c r="A79" s="118" t="s">
        <v>290</v>
      </c>
      <c r="B79" s="98" t="s">
        <v>1994</v>
      </c>
      <c r="C79" s="143">
        <v>24.5</v>
      </c>
      <c r="D79" s="143">
        <v>168</v>
      </c>
      <c r="E79" s="143">
        <v>2943.1</v>
      </c>
      <c r="F79" s="120">
        <f t="shared" ref="F79" si="84">E79/E$55</f>
        <v>6.2211649396104575E-3</v>
      </c>
      <c r="G79" s="143">
        <v>3462</v>
      </c>
      <c r="H79" s="109">
        <f t="shared" ref="H79" si="85">IF(OR(E79=G79,AND(E79="",G79=0),AND(E79=0,G79="")),0%,IF(OR(G79="",G79=0),100%,(E79-G79)/ABS(G79)))</f>
        <v>-0.14988445984979784</v>
      </c>
      <c r="I79" s="143">
        <f t="shared" ref="I79" si="86">IF(OR(D79=0,D79=""),0,E79/D79)</f>
        <v>17.518452380952379</v>
      </c>
      <c r="J79" s="122">
        <f t="shared" ref="J79" si="87">E79/C79</f>
        <v>120.12653061224489</v>
      </c>
    </row>
    <row r="80" spans="1:10" s="86" customFormat="1" ht="14.25" customHeight="1" x14ac:dyDescent="0.15">
      <c r="A80" s="176" t="s">
        <v>585</v>
      </c>
      <c r="B80" s="177" t="s">
        <v>2393</v>
      </c>
      <c r="C80" s="178">
        <v>38</v>
      </c>
      <c r="D80" s="178">
        <v>58</v>
      </c>
      <c r="E80" s="178">
        <v>5587.5</v>
      </c>
      <c r="F80" s="120">
        <f t="shared" ref="F80" si="88">E80/E$55</f>
        <v>1.1810933743356811E-2</v>
      </c>
      <c r="G80" s="178">
        <v>4503.88</v>
      </c>
      <c r="H80" s="191">
        <f t="shared" ref="H80" si="89">IF(OR(E80=G80,AND(E80="",G80=0),AND(E80=0,G80="")),0%,IF(OR(G80="",G80=0),100%,(E80-G80)/ABS(G80)))</f>
        <v>0.24059699636757637</v>
      </c>
      <c r="I80" s="143">
        <f t="shared" ref="I80" si="90">IF(OR(D80=0,D80=""),0,E80/D80)</f>
        <v>96.33620689655173</v>
      </c>
      <c r="J80" s="122">
        <f t="shared" ref="J80" si="91">E80/C80</f>
        <v>147.03947368421052</v>
      </c>
    </row>
    <row r="81" spans="1:10" s="86" customFormat="1" ht="14.25" customHeight="1" x14ac:dyDescent="0.15">
      <c r="A81" s="176" t="s">
        <v>1680</v>
      </c>
      <c r="B81" s="177" t="s">
        <v>2394</v>
      </c>
      <c r="C81" s="178">
        <v>141.97</v>
      </c>
      <c r="D81" s="178">
        <v>22</v>
      </c>
      <c r="E81" s="178">
        <v>43080.5</v>
      </c>
      <c r="F81" s="120">
        <f t="shared" ref="F81" si="92">E81/E$55</f>
        <v>9.1064148748220691E-2</v>
      </c>
      <c r="G81" s="178">
        <v>29599.3</v>
      </c>
      <c r="H81" s="191">
        <f t="shared" ref="H81" si="93">IF(OR(E81=G81,AND(E81="",G81=0),AND(E81=0,G81="")),0%,IF(OR(G81="",G81=0),100%,(E81-G81)/ABS(G81)))</f>
        <v>0.45545671688181821</v>
      </c>
      <c r="I81" s="143">
        <f t="shared" ref="I81" si="94">IF(OR(D81=0,D81=""),0,E81/D81)</f>
        <v>1958.2045454545455</v>
      </c>
      <c r="J81" s="122">
        <f t="shared" ref="J81" si="95">E81/C81</f>
        <v>303.44791153060504</v>
      </c>
    </row>
    <row r="82" spans="1:10" s="86" customFormat="1" ht="14.25" customHeight="1" x14ac:dyDescent="0.15">
      <c r="A82" s="176" t="s">
        <v>866</v>
      </c>
      <c r="B82" s="177" t="s">
        <v>1995</v>
      </c>
      <c r="C82" s="178">
        <v>40</v>
      </c>
      <c r="D82" s="178">
        <v>519</v>
      </c>
      <c r="E82" s="178">
        <v>13798</v>
      </c>
      <c r="F82" s="120">
        <f t="shared" ref="F82" si="96">E82/E$55</f>
        <v>2.9166400678449625E-2</v>
      </c>
      <c r="G82" s="178">
        <v>13766.9</v>
      </c>
      <c r="H82" s="191">
        <f t="shared" ref="H82" si="97">IF(OR(E82=G82,AND(E82="",G82=0),AND(E82=0,G82="")),0%,IF(OR(G82="",G82=0),100%,(E82-G82)/ABS(G82)))</f>
        <v>2.2590416143068058E-3</v>
      </c>
      <c r="I82" s="143">
        <f t="shared" ref="I82" si="98">IF(OR(D82=0,D82=""),0,E82/D82)</f>
        <v>26.585741811175335</v>
      </c>
      <c r="J82" s="122">
        <f t="shared" ref="J82" si="99">E82/C82</f>
        <v>344.95</v>
      </c>
    </row>
    <row r="83" spans="1:10" s="86" customFormat="1" ht="14.25" customHeight="1" x14ac:dyDescent="0.15">
      <c r="A83" s="176" t="s">
        <v>1605</v>
      </c>
      <c r="B83" s="177" t="s">
        <v>2395</v>
      </c>
      <c r="C83" s="178">
        <v>17.079999999999998</v>
      </c>
      <c r="D83" s="178">
        <v>3</v>
      </c>
      <c r="E83" s="178">
        <v>6199</v>
      </c>
      <c r="F83" s="120">
        <f>E83/E$55</f>
        <v>1.3103530787484363E-2</v>
      </c>
      <c r="G83" s="178">
        <v>6199</v>
      </c>
      <c r="H83" s="191">
        <f>IF(OR(E83=G83,AND(E83="",G83=0),AND(E83=0,G83="")),0%,IF(OR(G83="",G83=0),100%,(E83-G83)/ABS(G83)))</f>
        <v>0</v>
      </c>
      <c r="I83" s="143">
        <f>IF(OR(D83=0,D83=""),0,E83/D83)</f>
        <v>2066.3333333333335</v>
      </c>
      <c r="J83" s="122">
        <f>E83/C83</f>
        <v>362.93911007025764</v>
      </c>
    </row>
    <row r="84" spans="1:10" s="86" customFormat="1" ht="14.25" customHeight="1" x14ac:dyDescent="0.15">
      <c r="A84" s="118" t="s">
        <v>1072</v>
      </c>
      <c r="B84" s="98" t="s">
        <v>1996</v>
      </c>
      <c r="C84" s="143">
        <v>20</v>
      </c>
      <c r="D84" s="143">
        <v>3</v>
      </c>
      <c r="E84" s="143">
        <v>607</v>
      </c>
      <c r="F84" s="120">
        <f t="shared" ref="F84" si="100">E84/E$55</f>
        <v>1.2830848827235051E-3</v>
      </c>
      <c r="G84" s="143">
        <v>2154</v>
      </c>
      <c r="H84" s="109">
        <f t="shared" ref="H84" si="101">IF(OR(E84=G84,AND(E84="",G84=0),AND(E84=0,G84="")),0%,IF(OR(G84="",G84=0),100%,(E84-G84)/ABS(G84)))</f>
        <v>-0.71819870009285047</v>
      </c>
      <c r="I84" s="143">
        <f t="shared" ref="I84" si="102">IF(OR(D84=0,D84=""),0,E84/D84)</f>
        <v>202.33333333333334</v>
      </c>
      <c r="J84" s="122">
        <f t="shared" ref="J84" si="103">E84/C84</f>
        <v>30.35</v>
      </c>
    </row>
    <row r="85" spans="1:10" s="86" customFormat="1" ht="14.25" customHeight="1" x14ac:dyDescent="0.15">
      <c r="A85" s="118" t="s">
        <v>277</v>
      </c>
      <c r="B85" s="98" t="s">
        <v>1997</v>
      </c>
      <c r="C85" s="143">
        <v>21.9</v>
      </c>
      <c r="D85" s="143">
        <v>12</v>
      </c>
      <c r="E85" s="143">
        <v>4665</v>
      </c>
      <c r="F85" s="120">
        <f t="shared" si="42"/>
        <v>9.8609406555274313E-3</v>
      </c>
      <c r="G85" s="143">
        <v>6512</v>
      </c>
      <c r="H85" s="109">
        <f t="shared" ref="H85:H94" si="104">IF(OR(E85=G85,AND(E85="",G85=0),AND(E85=0,G85="")),0%,IF(OR(G85="",G85=0),100%,(E85-G85)/ABS(G85)))</f>
        <v>-0.28363022113022113</v>
      </c>
      <c r="I85" s="143">
        <f t="shared" ref="I85:I97" si="105">IF(OR(D85=0,D85=""),0,E85/D85)</f>
        <v>388.75</v>
      </c>
      <c r="J85" s="122">
        <f t="shared" ref="J85:J97" si="106">E85/C85</f>
        <v>213.01369863013701</v>
      </c>
    </row>
    <row r="86" spans="1:10" s="86" customFormat="1" ht="14.25" customHeight="1" x14ac:dyDescent="0.15">
      <c r="A86" s="176" t="s">
        <v>281</v>
      </c>
      <c r="B86" s="177" t="s">
        <v>1998</v>
      </c>
      <c r="C86" s="178">
        <v>20</v>
      </c>
      <c r="D86" s="178">
        <v>7</v>
      </c>
      <c r="E86" s="178">
        <v>1503</v>
      </c>
      <c r="F86" s="190">
        <f>E86/E$55</f>
        <v>3.177061908951282E-3</v>
      </c>
      <c r="G86" s="178">
        <v>2306</v>
      </c>
      <c r="H86" s="191">
        <f>IF(OR(E86=G86,AND(E86="",G86=0),AND(E86=0,G86="")),0%,IF(OR(G86="",G86=0),100%,(E86-G86)/ABS(G86)))</f>
        <v>-0.3482220294882914</v>
      </c>
      <c r="I86" s="143">
        <f>IF(OR(D86=0,D86=""),0,E86/D86)</f>
        <v>214.71428571428572</v>
      </c>
      <c r="J86" s="122">
        <f>E86/C86</f>
        <v>75.150000000000006</v>
      </c>
    </row>
    <row r="87" spans="1:10" s="86" customFormat="1" ht="14.25" customHeight="1" x14ac:dyDescent="0.15">
      <c r="A87" s="176" t="s">
        <v>753</v>
      </c>
      <c r="B87" s="177" t="s">
        <v>1999</v>
      </c>
      <c r="C87" s="178">
        <v>20</v>
      </c>
      <c r="D87" s="178">
        <v>6</v>
      </c>
      <c r="E87" s="178">
        <v>1539</v>
      </c>
      <c r="F87" s="190">
        <f>E87/E$55</f>
        <v>3.2531592001836477E-3</v>
      </c>
      <c r="G87" s="178">
        <v>667</v>
      </c>
      <c r="H87" s="191">
        <f>IF(OR(E87=G87,AND(E87="",G87=0),AND(E87=0,G87="")),0%,IF(OR(G87="",G87=0),100%,(E87-G87)/ABS(G87)))</f>
        <v>1.3073463268365817</v>
      </c>
      <c r="I87" s="143">
        <f>IF(OR(D87=0,D87=""),0,E87/D87)</f>
        <v>256.5</v>
      </c>
      <c r="J87" s="122">
        <f>E87/C87</f>
        <v>76.95</v>
      </c>
    </row>
    <row r="88" spans="1:10" s="86" customFormat="1" ht="14.25" customHeight="1" x14ac:dyDescent="0.15">
      <c r="A88" s="176" t="s">
        <v>282</v>
      </c>
      <c r="B88" s="177" t="s">
        <v>2000</v>
      </c>
      <c r="C88" s="178">
        <v>22.06</v>
      </c>
      <c r="D88" s="178">
        <v>4</v>
      </c>
      <c r="E88" s="178">
        <v>1067</v>
      </c>
      <c r="F88" s="190">
        <f>E88/E$55</f>
        <v>2.2554391595815157E-3</v>
      </c>
      <c r="G88" s="178">
        <v>1247</v>
      </c>
      <c r="H88" s="191">
        <f>IF(OR(E88=G88,AND(E88="",G88=0),AND(E88=0,G88="")),0%,IF(OR(G88="",G88=0),100%,(E88-G88)/ABS(G88)))</f>
        <v>-0.14434643143544507</v>
      </c>
      <c r="I88" s="143">
        <f>IF(OR(D88=0,D88=""),0,E88/D88)</f>
        <v>266.75</v>
      </c>
      <c r="J88" s="122">
        <f>E88/C88</f>
        <v>48.368087035358116</v>
      </c>
    </row>
    <row r="89" spans="1:10" s="86" customFormat="1" ht="14.25" customHeight="1" x14ac:dyDescent="0.15">
      <c r="A89" s="176" t="s">
        <v>616</v>
      </c>
      <c r="B89" s="177" t="s">
        <v>2396</v>
      </c>
      <c r="C89" s="178">
        <v>17.75</v>
      </c>
      <c r="D89" s="178">
        <v>272</v>
      </c>
      <c r="E89" s="178">
        <v>6499</v>
      </c>
      <c r="F89" s="190">
        <f>E89/E$55</f>
        <v>1.3737674881087413E-2</v>
      </c>
      <c r="G89" s="178">
        <v>5762</v>
      </c>
      <c r="H89" s="191">
        <f>IF(OR(E89=G89,AND(E89="",G89=0),AND(E89=0,G89="")),0%,IF(OR(G89="",G89=0),100%,(E89-G89)/ABS(G89)))</f>
        <v>0.12790697674418605</v>
      </c>
      <c r="I89" s="143">
        <f>IF(OR(D89=0,D89=""),0,E89/D89)</f>
        <v>23.893382352941178</v>
      </c>
      <c r="J89" s="122">
        <f>E89/C89</f>
        <v>366.14084507042253</v>
      </c>
    </row>
    <row r="90" spans="1:10" ht="14.25" customHeight="1" x14ac:dyDescent="0.15">
      <c r="A90" s="118" t="s">
        <v>286</v>
      </c>
      <c r="B90" s="98" t="s">
        <v>2397</v>
      </c>
      <c r="C90" s="143">
        <v>10</v>
      </c>
      <c r="D90" s="143">
        <v>58</v>
      </c>
      <c r="E90" s="143">
        <v>1688</v>
      </c>
      <c r="F90" s="120">
        <f t="shared" si="42"/>
        <v>3.5681174333398297E-3</v>
      </c>
      <c r="G90" s="143">
        <v>1506</v>
      </c>
      <c r="H90" s="109">
        <f t="shared" si="104"/>
        <v>0.12084993359893759</v>
      </c>
      <c r="I90" s="143">
        <f t="shared" si="105"/>
        <v>29.103448275862068</v>
      </c>
      <c r="J90" s="122">
        <f t="shared" si="106"/>
        <v>168.8</v>
      </c>
    </row>
    <row r="91" spans="1:10" s="86" customFormat="1" ht="14.25" customHeight="1" x14ac:dyDescent="0.15">
      <c r="A91" s="118" t="s">
        <v>1077</v>
      </c>
      <c r="B91" s="98" t="s">
        <v>2001</v>
      </c>
      <c r="C91" s="143">
        <v>18.38</v>
      </c>
      <c r="D91" s="143">
        <v>19</v>
      </c>
      <c r="E91" s="143">
        <v>1925.8</v>
      </c>
      <c r="F91" s="120">
        <f t="shared" ref="F91" si="107">E91/E$55</f>
        <v>4.070782318202514E-3</v>
      </c>
      <c r="G91" s="143">
        <v>1577.7</v>
      </c>
      <c r="H91" s="109">
        <f t="shared" ref="H91" si="108">IF(OR(E91=G91,AND(E91="",G91=0),AND(E91=0,G91="")),0%,IF(OR(G91="",G91=0),100%,(E91-G91)/ABS(G91)))</f>
        <v>0.2206376370666159</v>
      </c>
      <c r="I91" s="143">
        <f t="shared" ref="I91" si="109">IF(OR(D91=0,D91=""),0,E91/D91)</f>
        <v>101.3578947368421</v>
      </c>
      <c r="J91" s="122">
        <f t="shared" ref="J91" si="110">E91/C91</f>
        <v>104.77693144722525</v>
      </c>
    </row>
    <row r="92" spans="1:10" s="86" customFormat="1" ht="14.25" customHeight="1" x14ac:dyDescent="0.15">
      <c r="A92" s="118" t="s">
        <v>287</v>
      </c>
      <c r="B92" s="98" t="s">
        <v>2002</v>
      </c>
      <c r="C92" s="143">
        <v>15.1</v>
      </c>
      <c r="D92" s="143">
        <v>66</v>
      </c>
      <c r="E92" s="143">
        <v>2921.5</v>
      </c>
      <c r="F92" s="120">
        <f t="shared" si="42"/>
        <v>6.1755065648710378E-3</v>
      </c>
      <c r="G92" s="143">
        <v>2748.4</v>
      </c>
      <c r="H92" s="109">
        <f t="shared" si="104"/>
        <v>6.298209867559304E-2</v>
      </c>
      <c r="I92" s="143">
        <f t="shared" si="105"/>
        <v>44.265151515151516</v>
      </c>
      <c r="J92" s="122">
        <f t="shared" si="106"/>
        <v>193.476821192053</v>
      </c>
    </row>
    <row r="93" spans="1:10" s="86" customFormat="1" ht="14.25" customHeight="1" x14ac:dyDescent="0.15">
      <c r="A93" s="118" t="s">
        <v>827</v>
      </c>
      <c r="B93" s="98" t="s">
        <v>2003</v>
      </c>
      <c r="C93" s="143">
        <v>21.6</v>
      </c>
      <c r="D93" s="143">
        <v>6</v>
      </c>
      <c r="E93" s="143">
        <v>3739</v>
      </c>
      <c r="F93" s="120">
        <f t="shared" ref="F93" si="111">E93/E$55</f>
        <v>7.903549219939349E-3</v>
      </c>
      <c r="G93" s="143">
        <v>3975</v>
      </c>
      <c r="H93" s="109">
        <f t="shared" ref="H93" si="112">IF(OR(E93=G93,AND(E93="",G93=0),AND(E93=0,G93="")),0%,IF(OR(G93="",G93=0),100%,(E93-G93)/ABS(G93)))</f>
        <v>-5.9371069182389935E-2</v>
      </c>
      <c r="I93" s="143">
        <f t="shared" ref="I93" si="113">IF(OR(D93=0,D93=""),0,E93/D93)</f>
        <v>623.16666666666663</v>
      </c>
      <c r="J93" s="122">
        <f t="shared" ref="J93" si="114">E93/C93</f>
        <v>173.10185185185185</v>
      </c>
    </row>
    <row r="94" spans="1:10" s="86" customFormat="1" ht="14.25" customHeight="1" x14ac:dyDescent="0.15">
      <c r="A94" s="118" t="s">
        <v>288</v>
      </c>
      <c r="B94" s="98" t="s">
        <v>2004</v>
      </c>
      <c r="C94" s="143">
        <v>15.9</v>
      </c>
      <c r="D94" s="143">
        <v>141</v>
      </c>
      <c r="E94" s="143">
        <v>2666</v>
      </c>
      <c r="F94" s="120">
        <f t="shared" si="42"/>
        <v>5.6354271784857732E-3</v>
      </c>
      <c r="G94" s="143">
        <v>2255</v>
      </c>
      <c r="H94" s="109">
        <f t="shared" si="104"/>
        <v>0.18226164079822615</v>
      </c>
      <c r="I94" s="143">
        <f t="shared" si="105"/>
        <v>18.907801418439718</v>
      </c>
      <c r="J94" s="122">
        <f t="shared" si="106"/>
        <v>167.67295597484275</v>
      </c>
    </row>
    <row r="95" spans="1:10" s="86" customFormat="1" ht="14.25" customHeight="1" x14ac:dyDescent="0.15">
      <c r="A95" s="176" t="s">
        <v>1595</v>
      </c>
      <c r="B95" s="177" t="s">
        <v>2005</v>
      </c>
      <c r="C95" s="178">
        <v>10</v>
      </c>
      <c r="D95" s="178">
        <v>27</v>
      </c>
      <c r="E95" s="178">
        <v>610</v>
      </c>
      <c r="F95" s="120">
        <f t="shared" ref="F95" si="115">E95/E$55</f>
        <v>1.2894263236595356E-3</v>
      </c>
      <c r="G95" s="178">
        <v>499</v>
      </c>
      <c r="H95" s="191">
        <f t="shared" ref="H95" si="116">IF(OR(E95=G95,AND(E95="",G95=0),AND(E95=0,G95="")),0%,IF(OR(G95="",G95=0),100%,(E95-G95)/ABS(G95)))</f>
        <v>0.22244488977955912</v>
      </c>
      <c r="I95" s="143">
        <f t="shared" ref="I95" si="117">IF(OR(D95=0,D95=""),0,E95/D95)</f>
        <v>22.592592592592592</v>
      </c>
      <c r="J95" s="122">
        <f t="shared" ref="J95" si="118">E95/C95</f>
        <v>61</v>
      </c>
    </row>
    <row r="96" spans="1:10" s="86" customFormat="1" ht="14.25" customHeight="1" x14ac:dyDescent="0.15">
      <c r="A96" s="176" t="s">
        <v>639</v>
      </c>
      <c r="B96" s="177" t="s">
        <v>2006</v>
      </c>
      <c r="C96" s="178">
        <v>21.2</v>
      </c>
      <c r="D96" s="178">
        <v>45</v>
      </c>
      <c r="E96" s="178">
        <v>2469</v>
      </c>
      <c r="F96" s="120">
        <f t="shared" ref="F96" si="119">E96/E$55</f>
        <v>5.2190058903531034E-3</v>
      </c>
      <c r="G96" s="178">
        <v>2123</v>
      </c>
      <c r="H96" s="191">
        <f>IF(OR(E96=G96,AND(E96="",G96=0),AND(E96=0,G96="")),0%,IF(OR(G96="",G96=0),100%,(E96-G96)/ABS(G96)))</f>
        <v>0.1629769194536034</v>
      </c>
      <c r="I96" s="143">
        <f>IF(OR(D96=0,D96=""),0,E96/D96)</f>
        <v>54.866666666666667</v>
      </c>
      <c r="J96" s="122">
        <f t="shared" ref="J96" si="120">E96/C96</f>
        <v>116.4622641509434</v>
      </c>
    </row>
    <row r="97" spans="1:10" s="86" customFormat="1" ht="14.25" customHeight="1" x14ac:dyDescent="0.15">
      <c r="A97" s="118" t="s">
        <v>517</v>
      </c>
      <c r="B97" s="98" t="s">
        <v>2007</v>
      </c>
      <c r="C97" s="143">
        <v>17.079999999999998</v>
      </c>
      <c r="D97" s="143">
        <v>12</v>
      </c>
      <c r="E97" s="143">
        <v>3414</v>
      </c>
      <c r="F97" s="120">
        <f t="shared" si="42"/>
        <v>7.2165597852027119E-3</v>
      </c>
      <c r="G97" s="143">
        <v>3080</v>
      </c>
      <c r="H97" s="109">
        <f t="shared" si="43"/>
        <v>0.10844155844155844</v>
      </c>
      <c r="I97" s="143">
        <f t="shared" si="105"/>
        <v>284.5</v>
      </c>
      <c r="J97" s="122">
        <f t="shared" si="106"/>
        <v>199.88290398126466</v>
      </c>
    </row>
    <row r="98" spans="1:10" s="86" customFormat="1" ht="14.25" customHeight="1" x14ac:dyDescent="0.15">
      <c r="A98" s="118" t="s">
        <v>897</v>
      </c>
      <c r="B98" s="177" t="s">
        <v>2008</v>
      </c>
      <c r="C98" s="178">
        <v>19</v>
      </c>
      <c r="D98" s="178">
        <v>9</v>
      </c>
      <c r="E98" s="178">
        <v>1726</v>
      </c>
      <c r="F98" s="190">
        <f t="shared" ref="F98" si="121">E98/E$55</f>
        <v>3.6484423518628826E-3</v>
      </c>
      <c r="G98" s="178">
        <v>1825</v>
      </c>
      <c r="H98" s="191">
        <f t="shared" ref="H98" si="122">IF(OR(E98=G98,AND(E98="",G98=0),AND(E98=0,G98="")),0%,IF(OR(G98="",G98=0),100%,(E98-G98)/ABS(G98)))</f>
        <v>-5.4246575342465755E-2</v>
      </c>
      <c r="I98" s="143">
        <f t="shared" ref="I98" si="123">IF(OR(D98=0,D98=""),0,E98/D98)</f>
        <v>191.77777777777777</v>
      </c>
      <c r="J98" s="122">
        <f t="shared" ref="J98" si="124">E98/C98</f>
        <v>90.84210526315789</v>
      </c>
    </row>
    <row r="99" spans="1:10" s="86" customFormat="1" ht="14.25" customHeight="1" x14ac:dyDescent="0.15">
      <c r="A99" s="118" t="s">
        <v>1729</v>
      </c>
      <c r="B99" s="177" t="s">
        <v>2009</v>
      </c>
      <c r="C99" s="178">
        <v>165.15</v>
      </c>
      <c r="D99" s="178">
        <v>46</v>
      </c>
      <c r="E99" s="178">
        <v>8553</v>
      </c>
      <c r="F99" s="190">
        <f t="shared" ref="F99" si="125">E99/E$55</f>
        <v>1.8079448108622963E-2</v>
      </c>
      <c r="G99" s="178">
        <v>9325</v>
      </c>
      <c r="H99" s="191">
        <f t="shared" ref="H99" si="126">IF(OR(E99=G99,AND(E99="",G99=0),AND(E99=0,G99="")),0%,IF(OR(G99="",G99=0),100%,(E99-G99)/ABS(G99)))</f>
        <v>-8.2788203753351206E-2</v>
      </c>
      <c r="I99" s="143">
        <f t="shared" ref="I99" si="127">IF(OR(D99=0,D99=""),0,E99/D99)</f>
        <v>185.93478260869566</v>
      </c>
      <c r="J99" s="122">
        <f t="shared" ref="J99" si="128">E99/C99</f>
        <v>51.789282470481382</v>
      </c>
    </row>
    <row r="100" spans="1:10" s="86" customFormat="1" ht="14.25" customHeight="1" x14ac:dyDescent="0.15">
      <c r="A100" s="118" t="s">
        <v>1096</v>
      </c>
      <c r="B100" s="177" t="s">
        <v>2010</v>
      </c>
      <c r="C100" s="178">
        <v>20</v>
      </c>
      <c r="D100" s="178">
        <v>11</v>
      </c>
      <c r="E100" s="178">
        <v>1632</v>
      </c>
      <c r="F100" s="190">
        <f t="shared" ref="F100" si="129">E100/E$55</f>
        <v>3.4497438692005934E-3</v>
      </c>
      <c r="G100" s="178">
        <v>382</v>
      </c>
      <c r="H100" s="191">
        <f t="shared" ref="H100" si="130">IF(OR(E100=G100,AND(E100="",G100=0),AND(E100=0,G100="")),0%,IF(OR(G100="",G100=0),100%,(E100-G100)/ABS(G100)))</f>
        <v>3.2722513089005236</v>
      </c>
      <c r="I100" s="143">
        <f t="shared" ref="I100" si="131">IF(OR(D100=0,D100=""),0,E100/D100)</f>
        <v>148.36363636363637</v>
      </c>
      <c r="J100" s="122">
        <f t="shared" ref="J100" si="132">E100/C100</f>
        <v>81.599999999999994</v>
      </c>
    </row>
    <row r="101" spans="1:10" s="86" customFormat="1" ht="14.25" customHeight="1" x14ac:dyDescent="0.15">
      <c r="A101" s="176" t="s">
        <v>1112</v>
      </c>
      <c r="B101" s="177" t="s">
        <v>2398</v>
      </c>
      <c r="C101" s="178">
        <v>20</v>
      </c>
      <c r="D101" s="178">
        <v>16</v>
      </c>
      <c r="E101" s="178">
        <v>7254</v>
      </c>
      <c r="F101" s="190">
        <f>E101/E$55</f>
        <v>1.5333604183321756E-2</v>
      </c>
      <c r="G101" s="178">
        <v>6592</v>
      </c>
      <c r="H101" s="191">
        <f>IF(OR(E101=G101,AND(E101="",G101=0),AND(E101=0,G101="")),0%,IF(OR(G101="",G101=0),100%,(E101-G101)/ABS(G101)))</f>
        <v>0.1004247572815534</v>
      </c>
      <c r="I101" s="143">
        <f>IF(OR(D101=0,D101=""),0,E101/D101)</f>
        <v>453.375</v>
      </c>
      <c r="J101" s="122">
        <f>E101/C101</f>
        <v>362.7</v>
      </c>
    </row>
    <row r="102" spans="1:10" s="86" customFormat="1" ht="14.25" customHeight="1" x14ac:dyDescent="0.15">
      <c r="A102" s="118" t="s">
        <v>1588</v>
      </c>
      <c r="B102" s="98" t="s">
        <v>2011</v>
      </c>
      <c r="C102" s="143">
        <v>20</v>
      </c>
      <c r="D102" s="143">
        <v>8</v>
      </c>
      <c r="E102" s="143">
        <v>2431.4</v>
      </c>
      <c r="F102" s="190">
        <f t="shared" ref="F102" si="133">E102/E$55</f>
        <v>5.1395264972881882E-3</v>
      </c>
      <c r="G102" s="143">
        <v>221.4</v>
      </c>
      <c r="H102" s="109">
        <f t="shared" ref="H102" si="134">IF(OR(E102=G102,AND(E102="",G102=0),AND(E102=0,G102="")),0%,IF(OR(G102="",G102=0),100%,(E102-G102)/ABS(G102)))</f>
        <v>9.98193315266486</v>
      </c>
      <c r="I102" s="143">
        <f t="shared" ref="I102" si="135">IF(OR(D102=0,D102=""),0,E102/D102)</f>
        <v>303.92500000000001</v>
      </c>
      <c r="J102" s="122">
        <f t="shared" ref="J102" si="136">E102/C102</f>
        <v>121.57000000000001</v>
      </c>
    </row>
    <row r="103" spans="1:10" s="86" customFormat="1" ht="14.25" customHeight="1" x14ac:dyDescent="0.15">
      <c r="A103" s="118" t="s">
        <v>604</v>
      </c>
      <c r="B103" s="98" t="s">
        <v>2012</v>
      </c>
      <c r="C103" s="143">
        <v>30.2</v>
      </c>
      <c r="D103" s="143">
        <v>1</v>
      </c>
      <c r="E103" s="143">
        <v>88</v>
      </c>
      <c r="F103" s="190">
        <f t="shared" ref="F103" si="137">E103/E$55</f>
        <v>1.8601560079022807E-4</v>
      </c>
      <c r="G103" s="143">
        <v>7599</v>
      </c>
      <c r="H103" s="109">
        <f t="shared" ref="H103" si="138">IF(OR(E103=G103,AND(E103="",G103=0),AND(E103=0,G103="")),0%,IF(OR(G103="",G103=0),100%,(E103-G103)/ABS(G103)))</f>
        <v>-0.98841952888537965</v>
      </c>
      <c r="I103" s="143">
        <f t="shared" ref="I103" si="139">IF(OR(D103=0,D103=""),0,E103/D103)</f>
        <v>88</v>
      </c>
      <c r="J103" s="122">
        <f t="shared" ref="J103" si="140">E103/C103</f>
        <v>2.9139072847682121</v>
      </c>
    </row>
    <row r="104" spans="1:10" s="86" customFormat="1" ht="14.25" customHeight="1" x14ac:dyDescent="0.15">
      <c r="A104" s="118" t="s">
        <v>1006</v>
      </c>
      <c r="B104" s="98" t="s">
        <v>2013</v>
      </c>
      <c r="C104" s="143">
        <v>14.86</v>
      </c>
      <c r="D104" s="143">
        <v>5</v>
      </c>
      <c r="E104" s="143">
        <v>1509</v>
      </c>
      <c r="F104" s="190">
        <f t="shared" ref="F104" si="141">E104/E$55</f>
        <v>3.189744790823343E-3</v>
      </c>
      <c r="G104" s="143">
        <v>1792</v>
      </c>
      <c r="H104" s="109">
        <f t="shared" ref="H104" si="142">IF(OR(E104=G104,AND(E104="",G104=0),AND(E104=0,G104="")),0%,IF(OR(G104="",G104=0),100%,(E104-G104)/ABS(G104)))</f>
        <v>-0.15792410714285715</v>
      </c>
      <c r="I104" s="143">
        <f t="shared" ref="I104" si="143">IF(OR(D104=0,D104=""),0,E104/D104)</f>
        <v>301.8</v>
      </c>
      <c r="J104" s="122">
        <f t="shared" ref="J104" si="144">E104/C104</f>
        <v>101.54777927321669</v>
      </c>
    </row>
    <row r="105" spans="1:10" s="86" customFormat="1" ht="14.25" customHeight="1" x14ac:dyDescent="0.15">
      <c r="A105" s="118" t="s">
        <v>708</v>
      </c>
      <c r="B105" s="98" t="s">
        <v>2014</v>
      </c>
      <c r="C105" s="143">
        <v>17</v>
      </c>
      <c r="D105" s="143">
        <v>1</v>
      </c>
      <c r="E105" s="143">
        <v>599</v>
      </c>
      <c r="F105" s="190">
        <f>E105/E$55</f>
        <v>1.2661743735607571E-3</v>
      </c>
      <c r="G105" s="143">
        <v>1198</v>
      </c>
      <c r="H105" s="109">
        <f>IF(OR(E105=G105,AND(E105="",G105=0),AND(E105=0,G105="")),0%,IF(OR(G105="",G105=0),100%,(E105-G105)/ABS(G105)))</f>
        <v>-0.5</v>
      </c>
      <c r="I105" s="143">
        <f>IF(OR(D105=0,D105=""),0,E105/D105)</f>
        <v>599</v>
      </c>
      <c r="J105" s="122">
        <f>E105/C105</f>
        <v>35.235294117647058</v>
      </c>
    </row>
    <row r="106" spans="1:10" s="86" customFormat="1" ht="14.25" customHeight="1" x14ac:dyDescent="0.15">
      <c r="A106" s="176" t="s">
        <v>1586</v>
      </c>
      <c r="B106" s="177" t="s">
        <v>2015</v>
      </c>
      <c r="C106" s="178">
        <v>13.67</v>
      </c>
      <c r="D106" s="178"/>
      <c r="E106" s="178"/>
      <c r="F106" s="190">
        <f>E106/E$55</f>
        <v>0</v>
      </c>
      <c r="G106" s="178"/>
      <c r="H106" s="109">
        <f>IF(OR(E106=G106,AND(E106="",G106=0),AND(E106=0,G106="")),0%,IF(OR(G106="",G106=0),100%,(E106-G106)/ABS(G106)))</f>
        <v>0</v>
      </c>
      <c r="I106" s="143">
        <f>IF(OR(D106=0,D106=""),0,E106/D106)</f>
        <v>0</v>
      </c>
      <c r="J106" s="122">
        <f>E106/C106</f>
        <v>0</v>
      </c>
    </row>
    <row r="107" spans="1:10" s="86" customFormat="1" ht="14.25" customHeight="1" x14ac:dyDescent="0.15">
      <c r="A107" s="176" t="s">
        <v>1151</v>
      </c>
      <c r="B107" s="177" t="s">
        <v>2399</v>
      </c>
      <c r="C107" s="178">
        <v>20.62</v>
      </c>
      <c r="D107" s="178">
        <v>4</v>
      </c>
      <c r="E107" s="178">
        <v>2121</v>
      </c>
      <c r="F107" s="190">
        <f>E107/E$55</f>
        <v>4.4833987417735657E-3</v>
      </c>
      <c r="G107" s="178">
        <v>2149</v>
      </c>
      <c r="H107" s="109">
        <f>IF(OR(E107=G107,AND(E107="",G107=0),AND(E107=0,G107="")),0%,IF(OR(G107="",G107=0),100%,(E107-G107)/ABS(G107)))</f>
        <v>-1.3029315960912053E-2</v>
      </c>
      <c r="I107" s="143">
        <f>IF(OR(D107=0,D107=""),0,E107/D107)</f>
        <v>530.25</v>
      </c>
      <c r="J107" s="122">
        <f t="shared" ref="J107" si="145">E107/C107</f>
        <v>102.86129970902036</v>
      </c>
    </row>
    <row r="108" spans="1:10" s="86" customFormat="1" ht="14.25" customHeight="1" x14ac:dyDescent="0.15">
      <c r="A108" s="176" t="s">
        <v>1127</v>
      </c>
      <c r="B108" s="177" t="s">
        <v>2016</v>
      </c>
      <c r="C108" s="178">
        <v>51.91</v>
      </c>
      <c r="D108" s="178">
        <v>58</v>
      </c>
      <c r="E108" s="178">
        <v>5991.5</v>
      </c>
      <c r="F108" s="120">
        <f t="shared" ref="F108" si="146">E108/E$55</f>
        <v>1.2664914456075586E-2</v>
      </c>
      <c r="G108" s="178">
        <v>5136.5</v>
      </c>
      <c r="H108" s="109">
        <f t="shared" ref="H108" si="147">IF(OR(E108=G108,AND(E108="",G108=0),AND(E108=0,G108="")),0%,IF(OR(G108="",G108=0),100%,(E108-G108)/ABS(G108)))</f>
        <v>0.16645575781173952</v>
      </c>
      <c r="I108" s="143">
        <f t="shared" ref="I108" si="148">IF(OR(D108=0,D108=""),0,E108/D108)</f>
        <v>103.30172413793103</v>
      </c>
      <c r="J108" s="122">
        <f t="shared" ref="J108" si="149">E108/C108</f>
        <v>115.42092082450395</v>
      </c>
    </row>
    <row r="109" spans="1:10" s="86" customFormat="1" ht="14.25" customHeight="1" x14ac:dyDescent="0.15">
      <c r="A109" s="176" t="s">
        <v>696</v>
      </c>
      <c r="B109" s="177" t="s">
        <v>2017</v>
      </c>
      <c r="C109" s="178">
        <v>11</v>
      </c>
      <c r="D109" s="178">
        <v>29</v>
      </c>
      <c r="E109" s="178">
        <v>1738</v>
      </c>
      <c r="F109" s="120">
        <f t="shared" si="42"/>
        <v>3.6738081156070046E-3</v>
      </c>
      <c r="G109" s="178">
        <v>1885</v>
      </c>
      <c r="H109" s="109">
        <f t="shared" ref="H109:H111" si="150">IF(OR(E109=G109,AND(E109="",G109=0),AND(E109=0,G109="")),0%,IF(OR(G109="",G109=0),100%,(E109-G109)/ABS(G109)))</f>
        <v>-7.79840848806366E-2</v>
      </c>
      <c r="I109" s="143">
        <f t="shared" ref="I109:I111" si="151">IF(OR(D109=0,D109=""),0,E109/D109)</f>
        <v>59.931034482758619</v>
      </c>
      <c r="J109" s="122">
        <f t="shared" ref="J109:J112" si="152">E109/C109</f>
        <v>158</v>
      </c>
    </row>
    <row r="110" spans="1:10" s="86" customFormat="1" ht="14.25" customHeight="1" x14ac:dyDescent="0.15">
      <c r="A110" s="118" t="s">
        <v>388</v>
      </c>
      <c r="B110" s="98" t="s">
        <v>2400</v>
      </c>
      <c r="C110" s="143">
        <v>21.6</v>
      </c>
      <c r="D110" s="143">
        <v>22</v>
      </c>
      <c r="E110" s="143">
        <v>13889</v>
      </c>
      <c r="F110" s="120">
        <f t="shared" si="42"/>
        <v>2.9358757720175883E-2</v>
      </c>
      <c r="G110" s="143">
        <v>7912</v>
      </c>
      <c r="H110" s="109">
        <f t="shared" si="150"/>
        <v>0.75543478260869568</v>
      </c>
      <c r="I110" s="143">
        <f t="shared" si="151"/>
        <v>631.31818181818187</v>
      </c>
      <c r="J110" s="122">
        <f t="shared" si="152"/>
        <v>643.00925925925924</v>
      </c>
    </row>
    <row r="111" spans="1:10" s="86" customFormat="1" ht="14.25" customHeight="1" x14ac:dyDescent="0.15">
      <c r="A111" s="118" t="s">
        <v>1125</v>
      </c>
      <c r="B111" s="98" t="s">
        <v>2018</v>
      </c>
      <c r="C111" s="143">
        <v>39.58</v>
      </c>
      <c r="D111" s="143">
        <v>2</v>
      </c>
      <c r="E111" s="143">
        <v>1862</v>
      </c>
      <c r="F111" s="120">
        <f t="shared" si="42"/>
        <v>3.9359210076295986E-3</v>
      </c>
      <c r="G111" s="143">
        <v>3159</v>
      </c>
      <c r="H111" s="109">
        <f t="shared" si="150"/>
        <v>-0.41057296612852168</v>
      </c>
      <c r="I111" s="143">
        <f t="shared" si="151"/>
        <v>931</v>
      </c>
      <c r="J111" s="122">
        <f t="shared" si="152"/>
        <v>47.043961596766046</v>
      </c>
    </row>
    <row r="112" spans="1:10" s="86" customFormat="1" ht="14.25" customHeight="1" x14ac:dyDescent="0.15">
      <c r="A112" s="118" t="s">
        <v>713</v>
      </c>
      <c r="B112" s="98" t="s">
        <v>2019</v>
      </c>
      <c r="C112" s="143">
        <v>21.21</v>
      </c>
      <c r="D112" s="143"/>
      <c r="E112" s="143"/>
      <c r="F112" s="120">
        <f t="shared" si="42"/>
        <v>0</v>
      </c>
      <c r="G112" s="143"/>
      <c r="H112" s="109">
        <f t="shared" ref="H112" si="153">IF(OR(E112=G112,AND(E112="",G112=0),AND(E112=0,G112="")),0%,IF(OR(G112="",G112=0),100%,(E112-G112)/ABS(G112)))</f>
        <v>0</v>
      </c>
      <c r="I112" s="143">
        <f t="shared" ref="I112" si="154">IF(OR(D112=0,D112=""),0,E112/D112)</f>
        <v>0</v>
      </c>
      <c r="J112" s="122">
        <f t="shared" si="152"/>
        <v>0</v>
      </c>
    </row>
    <row r="113" spans="1:10" s="86" customFormat="1" ht="14.25" customHeight="1" x14ac:dyDescent="0.15">
      <c r="A113" s="118" t="s">
        <v>1814</v>
      </c>
      <c r="B113" s="177" t="s">
        <v>2020</v>
      </c>
      <c r="C113" s="178">
        <v>21.21</v>
      </c>
      <c r="D113" s="178">
        <v>4</v>
      </c>
      <c r="E113" s="178">
        <v>1163</v>
      </c>
      <c r="F113" s="120">
        <f t="shared" ref="F113" si="155">E113/E$55</f>
        <v>2.4583652695344916E-3</v>
      </c>
      <c r="G113" s="178">
        <v>2388</v>
      </c>
      <c r="H113" s="191">
        <f t="shared" ref="H113" si="156">IF(OR(E113=G113,AND(E113="",G113=0),AND(E113=0,G113="")),0%,IF(OR(G113="",G113=0),100%,(E113-G113)/ABS(G113)))</f>
        <v>-0.51298157453936344</v>
      </c>
      <c r="I113" s="143">
        <f t="shared" ref="I113" si="157">IF(OR(D113=0,D113=""),0,E113/D113)</f>
        <v>290.75</v>
      </c>
      <c r="J113" s="122">
        <f t="shared" ref="J113" si="158">E113/C113</f>
        <v>54.832626119754828</v>
      </c>
    </row>
    <row r="114" spans="1:10" s="86" customFormat="1" ht="14.25" customHeight="1" x14ac:dyDescent="0.15">
      <c r="A114" s="118" t="s">
        <v>1596</v>
      </c>
      <c r="B114" s="177" t="s">
        <v>2021</v>
      </c>
      <c r="C114" s="178">
        <v>22.99</v>
      </c>
      <c r="D114" s="178">
        <v>9</v>
      </c>
      <c r="E114" s="178">
        <v>1588</v>
      </c>
      <c r="F114" s="120">
        <f t="shared" ref="F114" si="159">E114/E$55</f>
        <v>3.3567360688054795E-3</v>
      </c>
      <c r="G114" s="178">
        <v>835</v>
      </c>
      <c r="H114" s="191">
        <f t="shared" ref="H114" si="160">IF(OR(E114=G114,AND(E114="",G114=0),AND(E114=0,G114="")),0%,IF(OR(G114="",G114=0),100%,(E114-G114)/ABS(G114)))</f>
        <v>0.9017964071856287</v>
      </c>
      <c r="I114" s="143">
        <f t="shared" ref="I114" si="161">IF(OR(D114=0,D114=""),0,E114/D114)</f>
        <v>176.44444444444446</v>
      </c>
      <c r="J114" s="122">
        <f t="shared" ref="J114" si="162">E114/C114</f>
        <v>69.073510221835591</v>
      </c>
    </row>
    <row r="115" spans="1:10" s="86" customFormat="1" ht="14.25" customHeight="1" x14ac:dyDescent="0.15">
      <c r="A115" s="118" t="s">
        <v>737</v>
      </c>
      <c r="B115" s="177" t="s">
        <v>2401</v>
      </c>
      <c r="C115" s="178">
        <v>22.72</v>
      </c>
      <c r="D115" s="178"/>
      <c r="E115" s="178"/>
      <c r="F115" s="120">
        <f t="shared" ref="F115:F116" si="163">E115/E$55</f>
        <v>0</v>
      </c>
      <c r="G115" s="178">
        <v>42527</v>
      </c>
      <c r="H115" s="191">
        <f t="shared" ref="H115:H116" si="164">IF(OR(E115=G115,AND(E115="",G115=0),AND(E115=0,G115="")),0%,IF(OR(G115="",G115=0),100%,(E115-G115)/ABS(G115)))</f>
        <v>-1</v>
      </c>
      <c r="I115" s="143">
        <f t="shared" ref="I115:I116" si="165">IF(OR(D115=0,D115=""),0,E115/D115)</f>
        <v>0</v>
      </c>
      <c r="J115" s="122">
        <f t="shared" ref="J115:J116" si="166">E115/C115</f>
        <v>0</v>
      </c>
    </row>
    <row r="116" spans="1:10" s="86" customFormat="1" ht="14.25" customHeight="1" x14ac:dyDescent="0.15">
      <c r="A116" s="176" t="s">
        <v>1812</v>
      </c>
      <c r="B116" s="177" t="s">
        <v>2345</v>
      </c>
      <c r="C116" s="178">
        <v>59.9</v>
      </c>
      <c r="D116" s="178"/>
      <c r="E116" s="178"/>
      <c r="F116" s="120">
        <f t="shared" si="163"/>
        <v>0</v>
      </c>
      <c r="G116" s="178"/>
      <c r="H116" s="191">
        <f t="shared" si="164"/>
        <v>0</v>
      </c>
      <c r="I116" s="143">
        <f t="shared" si="165"/>
        <v>0</v>
      </c>
      <c r="J116" s="122">
        <f t="shared" si="166"/>
        <v>0</v>
      </c>
    </row>
    <row r="117" spans="1:10" s="86" customFormat="1" ht="14.25" customHeight="1" x14ac:dyDescent="0.15">
      <c r="A117" s="176" t="s">
        <v>1727</v>
      </c>
      <c r="B117" s="177" t="s">
        <v>2022</v>
      </c>
      <c r="C117" s="178">
        <v>69.900000000000006</v>
      </c>
      <c r="D117" s="178">
        <v>1</v>
      </c>
      <c r="E117" s="178">
        <v>532</v>
      </c>
      <c r="F117" s="120">
        <f t="shared" ref="F117" si="167">E117/E$55</f>
        <v>1.1245488593227425E-3</v>
      </c>
      <c r="G117" s="178">
        <v>25000</v>
      </c>
      <c r="H117" s="191">
        <f t="shared" ref="H117" si="168">IF(OR(E117=G117,AND(E117="",G117=0),AND(E117=0,G117="")),0%,IF(OR(G117="",G117=0),100%,(E117-G117)/ABS(G117)))</f>
        <v>-0.97872000000000003</v>
      </c>
      <c r="I117" s="143">
        <f t="shared" ref="I117" si="169">IF(OR(D117=0,D117=""),0,E117/D117)</f>
        <v>532</v>
      </c>
      <c r="J117" s="122">
        <f t="shared" ref="J117" si="170">E117/C117</f>
        <v>7.6108726752503566</v>
      </c>
    </row>
    <row r="118" spans="1:10" s="86" customFormat="1" ht="14.25" customHeight="1" x14ac:dyDescent="0.15">
      <c r="A118" s="176" t="s">
        <v>1108</v>
      </c>
      <c r="B118" s="177" t="s">
        <v>2023</v>
      </c>
      <c r="C118" s="178">
        <v>43.3</v>
      </c>
      <c r="D118" s="178">
        <v>12</v>
      </c>
      <c r="E118" s="178">
        <v>2481</v>
      </c>
      <c r="F118" s="190">
        <f t="shared" ref="F118" si="171">E118/E$55</f>
        <v>5.2443716540972254E-3</v>
      </c>
      <c r="G118" s="178">
        <v>3037</v>
      </c>
      <c r="H118" s="191">
        <f t="shared" ref="H118" si="172">IF(OR(E118=G118,AND(E118="",G118=0),AND(E118=0,G118="")),0%,IF(OR(G118="",G118=0),100%,(E118-G118)/ABS(G118)))</f>
        <v>-0.18307540335857755</v>
      </c>
      <c r="I118" s="143">
        <f t="shared" ref="I118" si="173">IF(OR(D118=0,D118=""),0,E118/D118)</f>
        <v>206.75</v>
      </c>
      <c r="J118" s="122">
        <f t="shared" ref="J118" si="174">E118/C118</f>
        <v>57.297921478060047</v>
      </c>
    </row>
    <row r="119" spans="1:10" s="86" customFormat="1" ht="14.25" customHeight="1" x14ac:dyDescent="0.15">
      <c r="A119" s="176" t="s">
        <v>904</v>
      </c>
      <c r="B119" s="177" t="s">
        <v>2024</v>
      </c>
      <c r="C119" s="178">
        <v>27.38</v>
      </c>
      <c r="D119" s="178">
        <v>6</v>
      </c>
      <c r="E119" s="178">
        <v>969</v>
      </c>
      <c r="F119" s="190">
        <f t="shared" ref="F119" si="175">E119/E$55</f>
        <v>2.0482854223378526E-3</v>
      </c>
      <c r="G119" s="178">
        <v>449</v>
      </c>
      <c r="H119" s="191">
        <f t="shared" ref="H119" si="176">IF(OR(E119=G119,AND(E119="",G119=0),AND(E119=0,G119="")),0%,IF(OR(G119="",G119=0),100%,(E119-G119)/ABS(G119)))</f>
        <v>1.158129175946548</v>
      </c>
      <c r="I119" s="143">
        <f t="shared" ref="I119" si="177">IF(OR(D119=0,D119=""),0,E119/D119)</f>
        <v>161.5</v>
      </c>
      <c r="J119" s="122">
        <f t="shared" ref="J119" si="178">E119/C119</f>
        <v>35.390796201607017</v>
      </c>
    </row>
    <row r="120" spans="1:10" s="86" customFormat="1" ht="14.25" customHeight="1" x14ac:dyDescent="0.15">
      <c r="A120" s="176" t="s">
        <v>766</v>
      </c>
      <c r="B120" s="177" t="s">
        <v>2402</v>
      </c>
      <c r="C120" s="178">
        <v>33.06</v>
      </c>
      <c r="D120" s="178">
        <v>7</v>
      </c>
      <c r="E120" s="178">
        <v>1526</v>
      </c>
      <c r="F120" s="190">
        <f t="shared" ref="F120" si="179">E120/E$55</f>
        <v>3.2256796227941825E-3</v>
      </c>
      <c r="G120" s="178">
        <v>1040</v>
      </c>
      <c r="H120" s="191">
        <f t="shared" ref="H120" si="180">IF(OR(E120=G120,AND(E120="",G120=0),AND(E120=0,G120="")),0%,IF(OR(G120="",G120=0),100%,(E120-G120)/ABS(G120)))</f>
        <v>0.46730769230769231</v>
      </c>
      <c r="I120" s="143">
        <f t="shared" ref="I120" si="181">IF(OR(D120=0,D120=""),0,E120/D120)</f>
        <v>218</v>
      </c>
      <c r="J120" s="122">
        <f t="shared" ref="J120" si="182">E120/C120</f>
        <v>46.158499697519659</v>
      </c>
    </row>
    <row r="121" spans="1:10" s="86" customFormat="1" ht="14.25" customHeight="1" x14ac:dyDescent="0.15">
      <c r="A121" s="176" t="s">
        <v>378</v>
      </c>
      <c r="B121" s="177" t="s">
        <v>2025</v>
      </c>
      <c r="C121" s="178">
        <v>24.5</v>
      </c>
      <c r="D121" s="178"/>
      <c r="E121" s="178"/>
      <c r="F121" s="190">
        <f>E121/E$55</f>
        <v>0</v>
      </c>
      <c r="G121" s="178"/>
      <c r="H121" s="191">
        <f>IF(OR(E121=G121,AND(E121="",G121=0),AND(E121=0,G121="")),0%,IF(OR(G121="",G121=0),100%,(E121-G121)/ABS(G121)))</f>
        <v>0</v>
      </c>
      <c r="I121" s="143">
        <f>IF(OR(D121=0,D121=""),0,E121/D121)</f>
        <v>0</v>
      </c>
      <c r="J121" s="122">
        <f>E121/C121</f>
        <v>0</v>
      </c>
    </row>
    <row r="122" spans="1:10" s="86" customFormat="1" ht="14.25" customHeight="1" x14ac:dyDescent="0.15">
      <c r="A122" s="176" t="s">
        <v>1854</v>
      </c>
      <c r="B122" s="177" t="s">
        <v>2391</v>
      </c>
      <c r="C122" s="178">
        <v>24.5</v>
      </c>
      <c r="D122" s="178">
        <v>35</v>
      </c>
      <c r="E122" s="178">
        <v>22220.5</v>
      </c>
      <c r="F122" s="190">
        <f>E122/E$55</f>
        <v>4.6969996106355265E-2</v>
      </c>
      <c r="G122" s="178">
        <v>4377</v>
      </c>
      <c r="H122" s="191">
        <f>IF(OR(E122=G122,AND(E122="",G122=0),AND(E122=0,G122="")),0%,IF(OR(G122="",G122=0),100%,(E122-G122)/ABS(G122)))</f>
        <v>4.0766506739776105</v>
      </c>
      <c r="I122" s="143">
        <f>IF(OR(D122=0,D122=""),0,E122/D122)</f>
        <v>634.87142857142862</v>
      </c>
      <c r="J122" s="122">
        <f>E122/C122</f>
        <v>906.9591836734694</v>
      </c>
    </row>
    <row r="123" spans="1:10" s="86" customFormat="1" ht="14.25" customHeight="1" x14ac:dyDescent="0.15">
      <c r="A123" s="176" t="s">
        <v>1618</v>
      </c>
      <c r="B123" s="177" t="s">
        <v>2026</v>
      </c>
      <c r="C123" s="178">
        <v>24.5</v>
      </c>
      <c r="D123" s="178">
        <v>4</v>
      </c>
      <c r="E123" s="178">
        <v>1245</v>
      </c>
      <c r="F123" s="190">
        <f t="shared" ref="F123:F135" si="183">E123/E$55</f>
        <v>2.6316979884526588E-3</v>
      </c>
      <c r="G123" s="178"/>
      <c r="H123" s="191">
        <f t="shared" ref="H123:H138" si="184">IF(OR(E123=G123,AND(E123="",G123=0),AND(E123=0,G123="")),0%,IF(OR(G123="",G123=0),100%,(E123-G123)/ABS(G123)))</f>
        <v>1</v>
      </c>
      <c r="I123" s="143">
        <f t="shared" ref="I123:I138" si="185">IF(OR(D123=0,D123=""),0,E123/D123)</f>
        <v>311.25</v>
      </c>
      <c r="J123" s="122">
        <f t="shared" ref="J123:J138" si="186">E123/C123</f>
        <v>50.816326530612244</v>
      </c>
    </row>
    <row r="124" spans="1:10" s="86" customFormat="1" ht="14.25" customHeight="1" x14ac:dyDescent="0.15">
      <c r="A124" s="176" t="s">
        <v>1619</v>
      </c>
      <c r="B124" s="177" t="s">
        <v>2027</v>
      </c>
      <c r="C124" s="178">
        <v>26.01</v>
      </c>
      <c r="D124" s="178">
        <v>5</v>
      </c>
      <c r="E124" s="178">
        <v>2130</v>
      </c>
      <c r="F124" s="190">
        <f t="shared" ref="F124" si="187">E124/E$55</f>
        <v>4.5024230645816571E-3</v>
      </c>
      <c r="G124" s="178">
        <v>2824</v>
      </c>
      <c r="H124" s="191">
        <f t="shared" ref="H124" si="188">IF(OR(E124=G124,AND(E124="",G124=0),AND(E124=0,G124="")),0%,IF(OR(G124="",G124=0),100%,(E124-G124)/ABS(G124)))</f>
        <v>-0.24575070821529746</v>
      </c>
      <c r="I124" s="143">
        <f t="shared" ref="I124" si="189">IF(OR(D124=0,D124=""),0,E124/D124)</f>
        <v>426</v>
      </c>
      <c r="J124" s="122">
        <f t="shared" ref="J124" si="190">E124/C124</f>
        <v>81.891580161476355</v>
      </c>
    </row>
    <row r="125" spans="1:10" s="86" customFormat="1" ht="14.25" customHeight="1" x14ac:dyDescent="0.15">
      <c r="A125" s="176" t="s">
        <v>381</v>
      </c>
      <c r="B125" s="177" t="s">
        <v>2403</v>
      </c>
      <c r="C125" s="178">
        <v>311</v>
      </c>
      <c r="D125" s="178">
        <v>537</v>
      </c>
      <c r="E125" s="178">
        <v>64618</v>
      </c>
      <c r="F125" s="190">
        <f>E125/E$55</f>
        <v>0.13659041013480633</v>
      </c>
      <c r="G125" s="178">
        <v>45535</v>
      </c>
      <c r="H125" s="191">
        <f t="shared" si="184"/>
        <v>0.41908422092895575</v>
      </c>
      <c r="I125" s="143">
        <f t="shared" si="185"/>
        <v>120.3314711359404</v>
      </c>
      <c r="J125" s="122">
        <f t="shared" si="186"/>
        <v>207.7749196141479</v>
      </c>
    </row>
    <row r="126" spans="1:10" s="86" customFormat="1" ht="14.25" customHeight="1" x14ac:dyDescent="0.15">
      <c r="A126" s="176" t="s">
        <v>1109</v>
      </c>
      <c r="B126" s="177" t="s">
        <v>2028</v>
      </c>
      <c r="C126" s="178">
        <v>6.2</v>
      </c>
      <c r="D126" s="178">
        <v>9</v>
      </c>
      <c r="E126" s="178">
        <v>1242</v>
      </c>
      <c r="F126" s="190">
        <f>E126/E$55</f>
        <v>2.6253565475166281E-3</v>
      </c>
      <c r="G126" s="178"/>
      <c r="H126" s="191">
        <f t="shared" ref="H126" si="191">IF(OR(E126=G126,AND(E126="",G126=0),AND(E126=0,G126="")),0%,IF(OR(G126="",G126=0),100%,(E126-G126)/ABS(G126)))</f>
        <v>1</v>
      </c>
      <c r="I126" s="143">
        <f t="shared" ref="I126" si="192">IF(OR(D126=0,D126=""),0,E126/D126)</f>
        <v>138</v>
      </c>
      <c r="J126" s="122">
        <f t="shared" ref="J126" si="193">E126/C126</f>
        <v>200.32258064516128</v>
      </c>
    </row>
    <row r="127" spans="1:10" s="86" customFormat="1" ht="14.25" customHeight="1" x14ac:dyDescent="0.15">
      <c r="A127" s="176" t="s">
        <v>543</v>
      </c>
      <c r="B127" s="177" t="s">
        <v>2029</v>
      </c>
      <c r="C127" s="178">
        <v>12</v>
      </c>
      <c r="D127" s="178">
        <v>27</v>
      </c>
      <c r="E127" s="178">
        <v>2818</v>
      </c>
      <c r="F127" s="190">
        <f t="shared" ref="F127" si="194">E127/E$55</f>
        <v>5.9567268525779855E-3</v>
      </c>
      <c r="G127" s="178">
        <v>2494</v>
      </c>
      <c r="H127" s="191">
        <f t="shared" ref="H127:H130" si="195">IF(OR(E127=G127,AND(E127="",G127=0),AND(E127=0,G127="")),0%,IF(OR(G127="",G127=0),100%,(E127-G127)/ABS(G127)))</f>
        <v>0.12991178829190056</v>
      </c>
      <c r="I127" s="143">
        <f t="shared" si="185"/>
        <v>104.37037037037037</v>
      </c>
      <c r="J127" s="122">
        <f t="shared" ref="J127:J130" si="196">E127/C127</f>
        <v>234.83333333333334</v>
      </c>
    </row>
    <row r="128" spans="1:10" s="86" customFormat="1" ht="14.25" customHeight="1" x14ac:dyDescent="0.15">
      <c r="A128" s="176" t="s">
        <v>672</v>
      </c>
      <c r="B128" s="177" t="s">
        <v>2030</v>
      </c>
      <c r="C128" s="178">
        <v>12</v>
      </c>
      <c r="D128" s="178"/>
      <c r="E128" s="178"/>
      <c r="F128" s="190">
        <f t="shared" ref="F128:F130" si="197">E128/E$55</f>
        <v>0</v>
      </c>
      <c r="G128" s="178"/>
      <c r="H128" s="191">
        <f t="shared" si="195"/>
        <v>0</v>
      </c>
      <c r="I128" s="143">
        <f t="shared" si="185"/>
        <v>0</v>
      </c>
      <c r="J128" s="122">
        <f t="shared" si="196"/>
        <v>0</v>
      </c>
    </row>
    <row r="129" spans="1:11" s="86" customFormat="1" ht="14.25" customHeight="1" x14ac:dyDescent="0.15">
      <c r="A129" s="176" t="s">
        <v>1805</v>
      </c>
      <c r="B129" s="177" t="s">
        <v>2031</v>
      </c>
      <c r="C129" s="178">
        <v>12</v>
      </c>
      <c r="D129" s="178">
        <v>18</v>
      </c>
      <c r="E129" s="178">
        <v>2116</v>
      </c>
      <c r="F129" s="190">
        <f t="shared" ref="F129" si="198">E129/E$55</f>
        <v>4.4728296735468479E-3</v>
      </c>
      <c r="G129" s="178">
        <v>1784</v>
      </c>
      <c r="H129" s="191">
        <f t="shared" ref="H129" si="199">IF(OR(E129=G129,AND(E129="",G129=0),AND(E129=0,G129="")),0%,IF(OR(G129="",G129=0),100%,(E129-G129)/ABS(G129)))</f>
        <v>0.18609865470852019</v>
      </c>
      <c r="I129" s="143">
        <f t="shared" ref="I129" si="200">IF(OR(D129=0,D129=""),0,E129/D129)</f>
        <v>117.55555555555556</v>
      </c>
      <c r="J129" s="122">
        <f t="shared" ref="J129" si="201">E129/C129</f>
        <v>176.33333333333334</v>
      </c>
    </row>
    <row r="130" spans="1:11" s="86" customFormat="1" ht="14.25" customHeight="1" x14ac:dyDescent="0.15">
      <c r="A130" s="176" t="s">
        <v>625</v>
      </c>
      <c r="B130" s="177" t="s">
        <v>2032</v>
      </c>
      <c r="C130" s="178">
        <v>6</v>
      </c>
      <c r="D130" s="178">
        <v>19</v>
      </c>
      <c r="E130" s="178">
        <v>5720</v>
      </c>
      <c r="F130" s="190">
        <f t="shared" si="197"/>
        <v>1.2091014051364824E-2</v>
      </c>
      <c r="G130" s="178">
        <v>5091</v>
      </c>
      <c r="H130" s="191">
        <f t="shared" si="195"/>
        <v>0.12355136515419368</v>
      </c>
      <c r="I130" s="143">
        <f t="shared" si="185"/>
        <v>301.05263157894734</v>
      </c>
      <c r="J130" s="122">
        <f t="shared" si="196"/>
        <v>953.33333333333337</v>
      </c>
    </row>
    <row r="131" spans="1:11" s="86" customFormat="1" ht="14.25" customHeight="1" x14ac:dyDescent="0.15">
      <c r="A131" s="176" t="s">
        <v>1118</v>
      </c>
      <c r="B131" s="177" t="s">
        <v>2033</v>
      </c>
      <c r="C131" s="178">
        <v>5</v>
      </c>
      <c r="D131" s="178">
        <v>26</v>
      </c>
      <c r="E131" s="178">
        <v>753</v>
      </c>
      <c r="F131" s="190">
        <f t="shared" ref="F131" si="202">E131/E$55</f>
        <v>1.5917016749436561E-3</v>
      </c>
      <c r="G131" s="178">
        <v>782</v>
      </c>
      <c r="H131" s="191">
        <f t="shared" ref="H131" si="203">IF(OR(E131=G131,AND(E131="",G131=0),AND(E131=0,G131="")),0%,IF(OR(G131="",G131=0),100%,(E131-G131)/ABS(G131)))</f>
        <v>-3.7084398976982097E-2</v>
      </c>
      <c r="I131" s="143">
        <f t="shared" ref="I131" si="204">IF(OR(D131=0,D131=""),0,E131/D131)</f>
        <v>28.96153846153846</v>
      </c>
      <c r="J131" s="122">
        <f t="shared" ref="J131" si="205">E131/C131</f>
        <v>150.6</v>
      </c>
    </row>
    <row r="132" spans="1:11" s="86" customFormat="1" ht="14.25" customHeight="1" x14ac:dyDescent="0.15">
      <c r="A132" s="176" t="s">
        <v>1704</v>
      </c>
      <c r="B132" s="177" t="s">
        <v>2404</v>
      </c>
      <c r="C132" s="178">
        <v>22</v>
      </c>
      <c r="D132" s="178">
        <v>75</v>
      </c>
      <c r="E132" s="178">
        <v>4812.5</v>
      </c>
      <c r="F132" s="190">
        <f t="shared" ref="F132" si="206">E132/E$55</f>
        <v>1.0172728168215598E-2</v>
      </c>
      <c r="G132" s="178">
        <v>3095.5</v>
      </c>
      <c r="H132" s="191">
        <f t="shared" ref="H132" si="207">IF(OR(E132=G132,AND(E132="",G132=0),AND(E132=0,G132="")),0%,IF(OR(G132="",G132=0),100%,(E132-G132)/ABS(G132)))</f>
        <v>0.55467614278791799</v>
      </c>
      <c r="I132" s="143">
        <f t="shared" ref="I132" si="208">IF(OR(D132=0,D132=""),0,E132/D132)</f>
        <v>64.166666666666671</v>
      </c>
      <c r="J132" s="122">
        <f t="shared" ref="J132" si="209">E132/C132</f>
        <v>218.75</v>
      </c>
    </row>
    <row r="133" spans="1:11" s="86" customFormat="1" ht="14.25" customHeight="1" x14ac:dyDescent="0.15">
      <c r="A133" s="176" t="s">
        <v>1808</v>
      </c>
      <c r="B133" s="177" t="s">
        <v>2034</v>
      </c>
      <c r="C133" s="178">
        <v>21.31</v>
      </c>
      <c r="D133" s="178">
        <v>1</v>
      </c>
      <c r="E133" s="178">
        <v>550</v>
      </c>
      <c r="F133" s="190">
        <f t="shared" ref="F133" si="210">E133/E$55</f>
        <v>1.1625975049389255E-3</v>
      </c>
      <c r="G133" s="178">
        <v>1060</v>
      </c>
      <c r="H133" s="191">
        <f t="shared" ref="H133" si="211">IF(OR(E133=G133,AND(E133="",G133=0),AND(E133=0,G133="")),0%,IF(OR(G133="",G133=0),100%,(E133-G133)/ABS(G133)))</f>
        <v>-0.48113207547169812</v>
      </c>
      <c r="I133" s="143">
        <f t="shared" ref="I133" si="212">IF(OR(D133=0,D133=""),0,E133/D133)</f>
        <v>550</v>
      </c>
      <c r="J133" s="122">
        <f t="shared" ref="J133" si="213">E133/C133</f>
        <v>25.809479117785077</v>
      </c>
    </row>
    <row r="134" spans="1:11" s="86" customFormat="1" ht="14.25" customHeight="1" x14ac:dyDescent="0.15">
      <c r="A134" s="176" t="s">
        <v>1023</v>
      </c>
      <c r="B134" s="177" t="s">
        <v>2405</v>
      </c>
      <c r="C134" s="178">
        <v>35.33</v>
      </c>
      <c r="D134" s="178">
        <v>119</v>
      </c>
      <c r="E134" s="178">
        <v>3063</v>
      </c>
      <c r="F134" s="190">
        <f t="shared" ref="F134" si="214">E134/E$55</f>
        <v>6.4746111956871435E-3</v>
      </c>
      <c r="G134" s="178">
        <v>2901</v>
      </c>
      <c r="H134" s="191">
        <f t="shared" ref="H134" si="215">IF(OR(E134=G134,AND(E134="",G134=0),AND(E134=0,G134="")),0%,IF(OR(G134="",G134=0),100%,(E134-G134)/ABS(G134)))</f>
        <v>5.5842812823164424E-2</v>
      </c>
      <c r="I134" s="143">
        <f t="shared" ref="I134" si="216">IF(OR(D134=0,D134=""),0,E134/D134)</f>
        <v>25.739495798319329</v>
      </c>
      <c r="J134" s="122">
        <f t="shared" ref="J134" si="217">E134/C134</f>
        <v>86.696858194169266</v>
      </c>
    </row>
    <row r="135" spans="1:11" ht="14.25" customHeight="1" x14ac:dyDescent="0.15">
      <c r="A135" s="176" t="s">
        <v>313</v>
      </c>
      <c r="B135" s="177" t="s">
        <v>2035</v>
      </c>
      <c r="C135" s="178">
        <v>838.41</v>
      </c>
      <c r="D135" s="178">
        <v>18</v>
      </c>
      <c r="E135" s="178">
        <v>14848</v>
      </c>
      <c r="F135" s="190">
        <f t="shared" si="183"/>
        <v>3.1385905006060304E-2</v>
      </c>
      <c r="G135" s="178">
        <v>15839</v>
      </c>
      <c r="H135" s="191">
        <f t="shared" si="184"/>
        <v>-6.2567081255129747E-2</v>
      </c>
      <c r="I135" s="143">
        <f t="shared" si="185"/>
        <v>824.88888888888891</v>
      </c>
      <c r="J135" s="122">
        <f t="shared" si="186"/>
        <v>17.709712431865078</v>
      </c>
    </row>
    <row r="136" spans="1:11" s="86" customFormat="1" ht="14.25" customHeight="1" x14ac:dyDescent="0.15">
      <c r="A136" s="176" t="s">
        <v>1650</v>
      </c>
      <c r="B136" s="177" t="s">
        <v>2036</v>
      </c>
      <c r="C136" s="178">
        <v>25.88</v>
      </c>
      <c r="D136" s="178">
        <v>11</v>
      </c>
      <c r="E136" s="178">
        <v>3878</v>
      </c>
      <c r="F136" s="190">
        <f t="shared" ref="F136" si="218">E136/E$55</f>
        <v>8.1973693166420957E-3</v>
      </c>
      <c r="G136" s="178">
        <v>1933</v>
      </c>
      <c r="H136" s="191">
        <f t="shared" ref="H136" si="219">IF(OR(E136=G136,AND(E136="",G136=0),AND(E136=0,G136="")),0%,IF(OR(G136="",G136=0),100%,(E136-G136)/ABS(G136)))</f>
        <v>1.0062079668908432</v>
      </c>
      <c r="I136" s="143">
        <f t="shared" ref="I136" si="220">IF(OR(D136=0,D136=""),0,E136/D136)</f>
        <v>352.54545454545456</v>
      </c>
      <c r="J136" s="122">
        <f t="shared" ref="J136" si="221">E136/C136</f>
        <v>149.84544049459043</v>
      </c>
    </row>
    <row r="137" spans="1:11" s="86" customFormat="1" ht="14.25" customHeight="1" x14ac:dyDescent="0.15">
      <c r="A137" s="176" t="s">
        <v>1710</v>
      </c>
      <c r="B137" s="177" t="s">
        <v>2406</v>
      </c>
      <c r="C137" s="178">
        <v>27.53</v>
      </c>
      <c r="D137" s="178">
        <v>288</v>
      </c>
      <c r="E137" s="178">
        <v>7361.5</v>
      </c>
      <c r="F137" s="190">
        <f t="shared" ref="F137" si="222">E137/E$55</f>
        <v>1.5560839150196182E-2</v>
      </c>
      <c r="G137" s="178">
        <v>7149.6</v>
      </c>
      <c r="H137" s="191">
        <f t="shared" ref="H137" si="223">IF(OR(E137=G137,AND(E137="",G137=0),AND(E137=0,G137="")),0%,IF(OR(G137="",G137=0),100%,(E137-G137)/ABS(G137)))</f>
        <v>2.963802170750806E-2</v>
      </c>
      <c r="I137" s="143">
        <f t="shared" ref="I137" si="224">IF(OR(D137=0,D137=""),0,E137/D137)</f>
        <v>25.560763888888889</v>
      </c>
      <c r="J137" s="122">
        <f t="shared" ref="J137" si="225">E137/C137</f>
        <v>267.39920087177626</v>
      </c>
    </row>
    <row r="138" spans="1:11" ht="14.25" customHeight="1" x14ac:dyDescent="0.15">
      <c r="A138" s="124" t="s">
        <v>122</v>
      </c>
      <c r="B138" s="97" t="s">
        <v>2037</v>
      </c>
      <c r="C138" s="164">
        <v>11</v>
      </c>
      <c r="D138" s="164"/>
      <c r="E138" s="164"/>
      <c r="F138" s="194">
        <f>E138/E$55</f>
        <v>0</v>
      </c>
      <c r="G138" s="164"/>
      <c r="H138" s="110">
        <f t="shared" si="184"/>
        <v>0</v>
      </c>
      <c r="I138" s="164">
        <f t="shared" si="185"/>
        <v>0</v>
      </c>
      <c r="J138" s="127">
        <f t="shared" si="186"/>
        <v>0</v>
      </c>
    </row>
    <row r="139" spans="1:11" ht="14.25" customHeight="1" x14ac:dyDescent="0.15"/>
    <row r="140" spans="1:11" ht="14.25" customHeight="1" x14ac:dyDescent="0.15">
      <c r="A140" s="325" t="s">
        <v>67</v>
      </c>
      <c r="B140" s="326"/>
      <c r="C140" s="326"/>
      <c r="D140" s="326"/>
      <c r="E140" s="326"/>
      <c r="F140" s="326"/>
      <c r="G140" s="326"/>
      <c r="H140" s="326"/>
      <c r="I140" s="326"/>
      <c r="J140" s="327"/>
    </row>
    <row r="141" spans="1:11" ht="14.25" customHeight="1" x14ac:dyDescent="0.15">
      <c r="A141" s="48" t="s">
        <v>116</v>
      </c>
      <c r="B141" s="49" t="s">
        <v>56</v>
      </c>
      <c r="C141" s="145" t="s">
        <v>57</v>
      </c>
      <c r="D141" s="162" t="s">
        <v>58</v>
      </c>
      <c r="E141" s="50" t="s">
        <v>59</v>
      </c>
      <c r="F141" s="49" t="s">
        <v>64</v>
      </c>
      <c r="G141" s="49" t="s">
        <v>60</v>
      </c>
      <c r="H141" s="51" t="s">
        <v>61</v>
      </c>
      <c r="I141" s="51" t="s">
        <v>62</v>
      </c>
      <c r="J141" s="52" t="s">
        <v>63</v>
      </c>
    </row>
    <row r="142" spans="1:11" ht="14.25" customHeight="1" x14ac:dyDescent="0.15">
      <c r="A142" s="47" t="s">
        <v>65</v>
      </c>
      <c r="B142" s="45"/>
      <c r="C142" s="146">
        <f>SUM(C143:C183)</f>
        <v>9374.3300000000017</v>
      </c>
      <c r="D142" s="146">
        <f>SUM(D143:D183)</f>
        <v>2927</v>
      </c>
      <c r="E142" s="46">
        <f>SUM(E143:E183)</f>
        <v>1145573.8999999999</v>
      </c>
      <c r="F142" s="105">
        <f>SUM(F143:F183)</f>
        <v>1.0108610520057155</v>
      </c>
      <c r="G142" s="46">
        <f>SUM(G143:G183)</f>
        <v>760938.1</v>
      </c>
      <c r="H142" s="44">
        <f t="shared" ref="H142:H155" si="226">IF(OR(E142=G142,AND(E142="",G142=0),AND(E142=0,G142="")),0%,IF(OR(G142="",G142=0),100%,(E142-G142)/ABS(G142)))</f>
        <v>0.50547580677061632</v>
      </c>
      <c r="I142" s="79">
        <f t="shared" ref="I142" si="227">IF(OR(D142=0,D142=""),0,E142/D142)</f>
        <v>391.38158524086094</v>
      </c>
      <c r="J142" s="72">
        <f t="shared" ref="J142:J166" si="228">E142/C142</f>
        <v>122.20328279461036</v>
      </c>
    </row>
    <row r="143" spans="1:11" ht="14.25" customHeight="1" x14ac:dyDescent="0.15">
      <c r="A143" s="118" t="s">
        <v>1010</v>
      </c>
      <c r="B143" s="98" t="s">
        <v>2038</v>
      </c>
      <c r="C143" s="143">
        <v>62.190000000000005</v>
      </c>
      <c r="D143" s="143">
        <v>9</v>
      </c>
      <c r="E143" s="143">
        <v>5600</v>
      </c>
      <c r="F143" s="62">
        <f t="shared" ref="F143:F155" si="229">E143/$E$142</f>
        <v>4.8883795275014566E-3</v>
      </c>
      <c r="G143" s="143">
        <v>4445</v>
      </c>
      <c r="H143" s="27">
        <f t="shared" si="226"/>
        <v>0.25984251968503935</v>
      </c>
      <c r="I143" s="143">
        <f t="shared" ref="I143:I155" si="230">IF(OR(D143=0,D143=""),0,E143/D143)</f>
        <v>622.22222222222217</v>
      </c>
      <c r="J143" s="70">
        <f t="shared" si="228"/>
        <v>90.046631291204363</v>
      </c>
      <c r="K143" s="1"/>
    </row>
    <row r="144" spans="1:11" s="86" customFormat="1" ht="14.25" customHeight="1" x14ac:dyDescent="0.15">
      <c r="A144" s="118" t="s">
        <v>1763</v>
      </c>
      <c r="B144" s="98" t="s">
        <v>2407</v>
      </c>
      <c r="C144" s="143">
        <v>200</v>
      </c>
      <c r="D144" s="143">
        <v>5</v>
      </c>
      <c r="E144" s="143">
        <v>3824</v>
      </c>
      <c r="F144" s="62">
        <f t="shared" ref="F144" si="231">E144/$E$142</f>
        <v>3.3380648773509943E-3</v>
      </c>
      <c r="G144" s="143">
        <v>5000</v>
      </c>
      <c r="H144" s="27">
        <f t="shared" ref="H144" si="232">IF(OR(E144=G144,AND(E144="",G144=0),AND(E144=0,G144="")),0%,IF(OR(G144="",G144=0),100%,(E144-G144)/ABS(G144)))</f>
        <v>-0.23519999999999999</v>
      </c>
      <c r="I144" s="143">
        <f t="shared" ref="I144" si="233">IF(OR(D144=0,D144=""),0,E144/D144)</f>
        <v>764.8</v>
      </c>
      <c r="J144" s="70">
        <f t="shared" ref="J144" si="234">E144/C144</f>
        <v>19.12</v>
      </c>
      <c r="K144" s="1"/>
    </row>
    <row r="145" spans="1:11" s="86" customFormat="1" ht="14.25" customHeight="1" x14ac:dyDescent="0.15">
      <c r="A145" s="118" t="s">
        <v>669</v>
      </c>
      <c r="B145" s="98" t="s">
        <v>2039</v>
      </c>
      <c r="C145" s="143">
        <v>71.62</v>
      </c>
      <c r="D145" s="143"/>
      <c r="E145" s="143"/>
      <c r="F145" s="62">
        <f t="shared" si="229"/>
        <v>0</v>
      </c>
      <c r="G145" s="143"/>
      <c r="H145" s="27">
        <f t="shared" si="226"/>
        <v>0</v>
      </c>
      <c r="I145" s="143">
        <f t="shared" si="230"/>
        <v>0</v>
      </c>
      <c r="J145" s="70">
        <f t="shared" si="228"/>
        <v>0</v>
      </c>
      <c r="K145" s="1"/>
    </row>
    <row r="146" spans="1:11" s="86" customFormat="1" ht="14.25" customHeight="1" x14ac:dyDescent="0.15">
      <c r="A146" s="118" t="s">
        <v>1844</v>
      </c>
      <c r="B146" s="98" t="s">
        <v>2040</v>
      </c>
      <c r="C146" s="143">
        <v>99</v>
      </c>
      <c r="D146" s="143">
        <v>1</v>
      </c>
      <c r="E146" s="143">
        <v>1717.2</v>
      </c>
      <c r="F146" s="62">
        <f t="shared" ref="F146" si="235">E146/$E$142</f>
        <v>1.4989866651116965E-3</v>
      </c>
      <c r="G146" s="143">
        <v>10357.200000000001</v>
      </c>
      <c r="H146" s="27">
        <f t="shared" ref="H146" si="236">IF(OR(E146=G146,AND(E146="",G146=0),AND(E146=0,G146="")),0%,IF(OR(G146="",G146=0),100%,(E146-G146)/ABS(G146)))</f>
        <v>-0.83420229405630864</v>
      </c>
      <c r="I146" s="143">
        <f t="shared" ref="I146" si="237">IF(OR(D146=0,D146=""),0,E146/D146)</f>
        <v>1717.2</v>
      </c>
      <c r="J146" s="70">
        <f t="shared" ref="J146" si="238">E146/C146</f>
        <v>17.345454545454547</v>
      </c>
      <c r="K146" s="1"/>
    </row>
    <row r="147" spans="1:11" s="86" customFormat="1" ht="14.25" customHeight="1" x14ac:dyDescent="0.15">
      <c r="A147" s="118" t="s">
        <v>792</v>
      </c>
      <c r="B147" s="98" t="s">
        <v>2041</v>
      </c>
      <c r="C147" s="143">
        <v>33</v>
      </c>
      <c r="D147" s="143">
        <v>19</v>
      </c>
      <c r="E147" s="143">
        <v>32382</v>
      </c>
      <c r="F147" s="62">
        <f t="shared" ref="F147" si="239">E147/$E$142</f>
        <v>2.8267054617777169E-2</v>
      </c>
      <c r="G147" s="143">
        <v>63826</v>
      </c>
      <c r="H147" s="27">
        <f t="shared" ref="H147" si="240">IF(OR(E147=G147,AND(E147="",G147=0),AND(E147=0,G147="")),0%,IF(OR(G147="",G147=0),100%,(E147-G147)/ABS(G147)))</f>
        <v>-0.4926518973459092</v>
      </c>
      <c r="I147" s="143">
        <f t="shared" ref="I147" si="241">IF(OR(D147=0,D147=""),0,E147/D147)</f>
        <v>1704.3157894736842</v>
      </c>
      <c r="J147" s="70">
        <f t="shared" ref="J147" si="242">E147/C147</f>
        <v>981.27272727272725</v>
      </c>
      <c r="K147" s="1"/>
    </row>
    <row r="148" spans="1:11" s="86" customFormat="1" ht="14.25" customHeight="1" x14ac:dyDescent="0.15">
      <c r="A148" s="118" t="s">
        <v>657</v>
      </c>
      <c r="B148" s="98" t="s">
        <v>2042</v>
      </c>
      <c r="C148" s="143">
        <v>70</v>
      </c>
      <c r="D148" s="143">
        <v>30</v>
      </c>
      <c r="E148" s="143">
        <v>30304</v>
      </c>
      <c r="F148" s="62">
        <f t="shared" si="229"/>
        <v>2.6453116643107882E-2</v>
      </c>
      <c r="G148" s="143">
        <v>91563</v>
      </c>
      <c r="H148" s="27">
        <f t="shared" si="226"/>
        <v>-0.6690366195952514</v>
      </c>
      <c r="I148" s="143">
        <f t="shared" si="230"/>
        <v>1010.1333333333333</v>
      </c>
      <c r="J148" s="70">
        <f t="shared" si="228"/>
        <v>432.91428571428571</v>
      </c>
      <c r="K148" s="1"/>
    </row>
    <row r="149" spans="1:11" s="86" customFormat="1" ht="14.25" customHeight="1" x14ac:dyDescent="0.15">
      <c r="A149" s="118" t="s">
        <v>784</v>
      </c>
      <c r="B149" s="98" t="s">
        <v>2043</v>
      </c>
      <c r="C149" s="143">
        <v>36</v>
      </c>
      <c r="D149" s="143">
        <v>14</v>
      </c>
      <c r="E149" s="143">
        <v>10410</v>
      </c>
      <c r="F149" s="62">
        <f t="shared" si="229"/>
        <v>9.0871483716589568E-3</v>
      </c>
      <c r="G149" s="143">
        <v>7660</v>
      </c>
      <c r="H149" s="27">
        <f t="shared" si="226"/>
        <v>0.35900783289817234</v>
      </c>
      <c r="I149" s="143">
        <f t="shared" si="230"/>
        <v>743.57142857142856</v>
      </c>
      <c r="J149" s="70">
        <f t="shared" si="228"/>
        <v>289.16666666666669</v>
      </c>
      <c r="K149" s="1"/>
    </row>
    <row r="150" spans="1:11" s="86" customFormat="1" ht="14.25" customHeight="1" x14ac:dyDescent="0.15">
      <c r="A150" s="118" t="s">
        <v>1017</v>
      </c>
      <c r="B150" s="98" t="s">
        <v>2044</v>
      </c>
      <c r="C150" s="143">
        <v>45.82</v>
      </c>
      <c r="D150" s="143">
        <v>4</v>
      </c>
      <c r="E150" s="143">
        <v>6074</v>
      </c>
      <c r="F150" s="62">
        <f t="shared" si="229"/>
        <v>5.3021459375078295E-3</v>
      </c>
      <c r="G150" s="143">
        <v>5337</v>
      </c>
      <c r="H150" s="27">
        <f t="shared" si="226"/>
        <v>0.1380925613640622</v>
      </c>
      <c r="I150" s="143">
        <f t="shared" si="230"/>
        <v>1518.5</v>
      </c>
      <c r="J150" s="70">
        <f t="shared" si="228"/>
        <v>132.56219991270189</v>
      </c>
      <c r="K150" s="1"/>
    </row>
    <row r="151" spans="1:11" s="86" customFormat="1" ht="14.25" customHeight="1" x14ac:dyDescent="0.15">
      <c r="A151" s="118" t="s">
        <v>1060</v>
      </c>
      <c r="B151" s="98" t="s">
        <v>2045</v>
      </c>
      <c r="C151" s="143">
        <v>60.93</v>
      </c>
      <c r="D151" s="143">
        <v>3</v>
      </c>
      <c r="E151" s="143">
        <v>12066</v>
      </c>
      <c r="F151" s="62">
        <f t="shared" ref="F151" si="243">E151/$E$142</f>
        <v>1.0532712031934387E-2</v>
      </c>
      <c r="G151" s="143">
        <v>4228</v>
      </c>
      <c r="H151" s="27">
        <f t="shared" ref="H151" si="244">IF(OR(E151=G151,AND(E151="",G151=0),AND(E151=0,G151="")),0%,IF(OR(G151="",G151=0),100%,(E151-G151)/ABS(G151)))</f>
        <v>1.8538315988647114</v>
      </c>
      <c r="I151" s="143">
        <f t="shared" ref="I151" si="245">IF(OR(D151=0,D151=""),0,E151/D151)</f>
        <v>4022</v>
      </c>
      <c r="J151" s="70">
        <f t="shared" ref="J151" si="246">E151/C151</f>
        <v>198.03052683407188</v>
      </c>
      <c r="K151" s="1"/>
    </row>
    <row r="152" spans="1:11" s="86" customFormat="1" ht="14.25" customHeight="1" x14ac:dyDescent="0.15">
      <c r="A152" s="118" t="s">
        <v>877</v>
      </c>
      <c r="B152" s="98" t="s">
        <v>2408</v>
      </c>
      <c r="C152" s="143">
        <v>63.87</v>
      </c>
      <c r="D152" s="143">
        <v>54</v>
      </c>
      <c r="E152" s="143">
        <v>23622</v>
      </c>
      <c r="F152" s="62">
        <f t="shared" ref="F152" si="247">E152/$E$142</f>
        <v>2.0620232356899894E-2</v>
      </c>
      <c r="G152" s="143">
        <v>14055</v>
      </c>
      <c r="H152" s="27">
        <f t="shared" ref="H152" si="248">IF(OR(E152=G152,AND(E152="",G152=0),AND(E152=0,G152="")),0%,IF(OR(G152="",G152=0),100%,(E152-G152)/ABS(G152)))</f>
        <v>0.68068303094983995</v>
      </c>
      <c r="I152" s="143">
        <f t="shared" ref="I152" si="249">IF(OR(D152=0,D152=""),0,E152/D152)</f>
        <v>437.44444444444446</v>
      </c>
      <c r="J152" s="70">
        <f t="shared" ref="J152" si="250">E152/C152</f>
        <v>369.84499765147956</v>
      </c>
      <c r="K152" s="1"/>
    </row>
    <row r="153" spans="1:11" ht="14.25" customHeight="1" x14ac:dyDescent="0.15">
      <c r="A153" s="118" t="s">
        <v>123</v>
      </c>
      <c r="B153" s="98" t="s">
        <v>2046</v>
      </c>
      <c r="C153" s="143">
        <v>140</v>
      </c>
      <c r="D153" s="143">
        <v>6</v>
      </c>
      <c r="E153" s="143">
        <v>10934</v>
      </c>
      <c r="F153" s="62">
        <f t="shared" si="229"/>
        <v>9.5445610274465936E-3</v>
      </c>
      <c r="G153" s="143">
        <v>7942</v>
      </c>
      <c r="H153" s="27">
        <f t="shared" si="226"/>
        <v>0.37673130193905818</v>
      </c>
      <c r="I153" s="143">
        <f t="shared" si="230"/>
        <v>1822.3333333333333</v>
      </c>
      <c r="J153" s="70">
        <f t="shared" si="228"/>
        <v>78.099999999999994</v>
      </c>
      <c r="K153" s="1"/>
    </row>
    <row r="154" spans="1:11" s="86" customFormat="1" ht="14.25" customHeight="1" x14ac:dyDescent="0.15">
      <c r="A154" s="118" t="s">
        <v>1122</v>
      </c>
      <c r="B154" s="98" t="s">
        <v>2047</v>
      </c>
      <c r="C154" s="143">
        <v>80</v>
      </c>
      <c r="D154" s="143"/>
      <c r="E154" s="143"/>
      <c r="F154" s="62">
        <f t="shared" si="229"/>
        <v>0</v>
      </c>
      <c r="G154" s="143">
        <v>10422</v>
      </c>
      <c r="H154" s="27">
        <f t="shared" si="226"/>
        <v>-1</v>
      </c>
      <c r="I154" s="143">
        <f t="shared" si="230"/>
        <v>0</v>
      </c>
      <c r="J154" s="70">
        <f t="shared" si="228"/>
        <v>0</v>
      </c>
      <c r="K154" s="1"/>
    </row>
    <row r="155" spans="1:11" ht="14.25" customHeight="1" x14ac:dyDescent="0.15">
      <c r="A155" s="118" t="s">
        <v>1660</v>
      </c>
      <c r="B155" s="98" t="s">
        <v>2409</v>
      </c>
      <c r="C155" s="143">
        <v>22</v>
      </c>
      <c r="D155" s="143"/>
      <c r="E155" s="143"/>
      <c r="F155" s="62">
        <f t="shared" si="229"/>
        <v>0</v>
      </c>
      <c r="G155" s="143"/>
      <c r="H155" s="27">
        <f t="shared" si="226"/>
        <v>0</v>
      </c>
      <c r="I155" s="143">
        <f t="shared" si="230"/>
        <v>0</v>
      </c>
      <c r="J155" s="70">
        <f t="shared" si="228"/>
        <v>0</v>
      </c>
      <c r="K155" s="1"/>
    </row>
    <row r="156" spans="1:11" s="86" customFormat="1" ht="14.25" customHeight="1" x14ac:dyDescent="0.15">
      <c r="A156" s="118" t="s">
        <v>184</v>
      </c>
      <c r="B156" s="98" t="s">
        <v>2346</v>
      </c>
      <c r="C156" s="143">
        <v>100.1</v>
      </c>
      <c r="D156" s="143">
        <v>5</v>
      </c>
      <c r="E156" s="143">
        <v>3594</v>
      </c>
      <c r="F156" s="62">
        <f t="shared" ref="F156" si="251">E156/$E$142</f>
        <v>3.1372921467571844E-3</v>
      </c>
      <c r="G156" s="143">
        <v>4870</v>
      </c>
      <c r="H156" s="27">
        <f t="shared" ref="H156" si="252">IF(OR(E156=G156,AND(E156="",G156=0),AND(E156=0,G156="")),0%,IF(OR(G156="",G156=0),100%,(E156-G156)/ABS(G156)))</f>
        <v>-0.2620123203285421</v>
      </c>
      <c r="I156" s="143">
        <f t="shared" ref="I156" si="253">IF(OR(D156=0,D156=""),0,E156/D156)</f>
        <v>718.8</v>
      </c>
      <c r="J156" s="70">
        <f t="shared" ref="J156" si="254">E156/C156</f>
        <v>35.904095904095904</v>
      </c>
      <c r="K156" s="1"/>
    </row>
    <row r="157" spans="1:11" ht="14.25" customHeight="1" x14ac:dyDescent="0.15">
      <c r="A157" s="118" t="s">
        <v>317</v>
      </c>
      <c r="B157" s="98" t="s">
        <v>2048</v>
      </c>
      <c r="C157" s="143">
        <v>173.59</v>
      </c>
      <c r="D157" s="143">
        <v>5</v>
      </c>
      <c r="E157" s="143">
        <v>11720</v>
      </c>
      <c r="F157" s="62">
        <f t="shared" ref="F157" si="255">E157/$E$142</f>
        <v>1.0230680011128047E-2</v>
      </c>
      <c r="G157" s="143">
        <v>510</v>
      </c>
      <c r="H157" s="27">
        <f t="shared" ref="H157" si="256">IF(OR(E157=G157,AND(E157="",G157=0),AND(E157=0,G157="")),0%,IF(OR(G157="",G157=0),100%,(E157-G157)/ABS(G157)))</f>
        <v>21.980392156862745</v>
      </c>
      <c r="I157" s="143">
        <f t="shared" ref="I157" si="257">IF(OR(D157=0,D157=""),0,E157/D157)</f>
        <v>2344</v>
      </c>
      <c r="J157" s="70">
        <f t="shared" ref="J157" si="258">E157/C157</f>
        <v>67.515409873840653</v>
      </c>
      <c r="K157" s="1"/>
    </row>
    <row r="158" spans="1:11" s="86" customFormat="1" ht="14.25" customHeight="1" x14ac:dyDescent="0.15">
      <c r="A158" s="118" t="s">
        <v>648</v>
      </c>
      <c r="B158" s="98" t="s">
        <v>2049</v>
      </c>
      <c r="C158" s="143">
        <v>79.510000000000005</v>
      </c>
      <c r="D158" s="143">
        <v>2</v>
      </c>
      <c r="E158" s="143">
        <v>12994</v>
      </c>
      <c r="F158" s="62">
        <f t="shared" ref="F158" si="259">E158/$E$142</f>
        <v>1.1342786353634629E-2</v>
      </c>
      <c r="G158" s="143">
        <v>37592</v>
      </c>
      <c r="H158" s="27">
        <f t="shared" ref="H158" si="260">IF(OR(E158=G158,AND(E158="",G158=0),AND(E158=0,G158="")),0%,IF(OR(G158="",G158=0),100%,(E158-G158)/ABS(G158)))</f>
        <v>-0.65434134922323894</v>
      </c>
      <c r="I158" s="143">
        <f t="shared" ref="I158" si="261">IF(OR(D158=0,D158=""),0,E158/D158)</f>
        <v>6497</v>
      </c>
      <c r="J158" s="70">
        <f t="shared" ref="J158" si="262">E158/C158</f>
        <v>163.42598415293673</v>
      </c>
      <c r="K158" s="1"/>
    </row>
    <row r="159" spans="1:11" s="86" customFormat="1" ht="14.25" customHeight="1" x14ac:dyDescent="0.15">
      <c r="A159" s="118" t="s">
        <v>651</v>
      </c>
      <c r="B159" s="98" t="s">
        <v>2410</v>
      </c>
      <c r="C159" s="143">
        <v>75.150000000000006</v>
      </c>
      <c r="D159" s="143">
        <v>11</v>
      </c>
      <c r="E159" s="143">
        <v>12216</v>
      </c>
      <c r="F159" s="62">
        <f t="shared" ref="F159" si="263">E159/$E$142</f>
        <v>1.0663650769278176E-2</v>
      </c>
      <c r="G159" s="143">
        <v>38097</v>
      </c>
      <c r="H159" s="27">
        <f t="shared" ref="H159:H160" si="264">IF(OR(E159=G159,AND(E159="",G159=0),AND(E159=0,G159="")),0%,IF(OR(G159="",G159=0),100%,(E159-G159)/ABS(G159)))</f>
        <v>-0.67934483030159853</v>
      </c>
      <c r="I159" s="143">
        <f t="shared" ref="I159:I160" si="265">IF(OR(D159=0,D159=""),0,E159/D159)</f>
        <v>1110.5454545454545</v>
      </c>
      <c r="J159" s="70">
        <f t="shared" ref="J159:J160" si="266">E159/C159</f>
        <v>162.55489021956086</v>
      </c>
      <c r="K159" s="1"/>
    </row>
    <row r="160" spans="1:11" s="86" customFormat="1" ht="14.25" customHeight="1" x14ac:dyDescent="0.15">
      <c r="A160" s="118" t="s">
        <v>1656</v>
      </c>
      <c r="B160" s="98" t="s">
        <v>2050</v>
      </c>
      <c r="C160" s="143">
        <v>65.83</v>
      </c>
      <c r="D160" s="143">
        <v>150</v>
      </c>
      <c r="E160" s="143">
        <v>42919</v>
      </c>
      <c r="F160" s="62">
        <f>E160/$E$142</f>
        <v>3.7465064453720533E-2</v>
      </c>
      <c r="G160" s="143">
        <v>45298.2</v>
      </c>
      <c r="H160" s="27">
        <f t="shared" si="264"/>
        <v>-5.2523058311367721E-2</v>
      </c>
      <c r="I160" s="143">
        <f t="shared" si="265"/>
        <v>286.12666666666667</v>
      </c>
      <c r="J160" s="70">
        <f t="shared" si="266"/>
        <v>651.96718821206139</v>
      </c>
      <c r="K160" s="1"/>
    </row>
    <row r="161" spans="1:11" s="86" customFormat="1" ht="14.25" customHeight="1" x14ac:dyDescent="0.15">
      <c r="A161" s="118" t="s">
        <v>1797</v>
      </c>
      <c r="B161" s="98" t="s">
        <v>2051</v>
      </c>
      <c r="C161" s="143">
        <v>89.39</v>
      </c>
      <c r="D161" s="143">
        <v>2</v>
      </c>
      <c r="E161" s="143">
        <v>2230</v>
      </c>
      <c r="F161" s="62">
        <f>E161/$E$142</f>
        <v>1.9466225618443298E-3</v>
      </c>
      <c r="G161" s="143">
        <v>4390</v>
      </c>
      <c r="H161" s="27">
        <f t="shared" ref="H161:H166" si="267">IF(OR(E161=G161,AND(E161="",G161=0),AND(E161=0,G161="")),0%,IF(OR(G161="",G161=0),100%,(E161-G161)/ABS(G161)))</f>
        <v>-0.49202733485193623</v>
      </c>
      <c r="I161" s="143">
        <f t="shared" ref="I161:I166" si="268">IF(OR(D161=0,D161=""),0,E161/D161)</f>
        <v>1115</v>
      </c>
      <c r="J161" s="70">
        <f t="shared" si="228"/>
        <v>24.946862065107954</v>
      </c>
      <c r="K161" s="1"/>
    </row>
    <row r="162" spans="1:11" s="86" customFormat="1" ht="14.25" customHeight="1" x14ac:dyDescent="0.15">
      <c r="A162" s="118" t="s">
        <v>377</v>
      </c>
      <c r="B162" s="98" t="s">
        <v>2411</v>
      </c>
      <c r="C162" s="143">
        <v>140.08000000000001</v>
      </c>
      <c r="D162" s="143">
        <v>1546</v>
      </c>
      <c r="E162" s="143">
        <v>24934.3</v>
      </c>
      <c r="F162" s="62">
        <f>E162/$E$142</f>
        <v>2.1765771723674922E-2</v>
      </c>
      <c r="G162" s="143">
        <v>22550.6</v>
      </c>
      <c r="H162" s="27">
        <f t="shared" ref="H162" si="269">IF(OR(E162=G162,AND(E162="",G162=0),AND(E162=0,G162="")),0%,IF(OR(G162="",G162=0),100%,(E162-G162)/ABS(G162)))</f>
        <v>0.1057045045364647</v>
      </c>
      <c r="I162" s="143">
        <f t="shared" ref="I162" si="270">IF(OR(D162=0,D162=""),0,E162/D162)</f>
        <v>16.128266494178526</v>
      </c>
      <c r="J162" s="70">
        <f t="shared" ref="J162" si="271">E162/C162</f>
        <v>178.00042832667046</v>
      </c>
      <c r="K162" s="1"/>
    </row>
    <row r="163" spans="1:11" s="86" customFormat="1" ht="14.25" customHeight="1" x14ac:dyDescent="0.15">
      <c r="A163" s="118" t="s">
        <v>350</v>
      </c>
      <c r="B163" s="98" t="s">
        <v>2052</v>
      </c>
      <c r="C163" s="143">
        <v>65.540000000000006</v>
      </c>
      <c r="D163" s="143">
        <v>13</v>
      </c>
      <c r="E163" s="143">
        <v>20273</v>
      </c>
      <c r="F163" s="62">
        <f t="shared" ref="F163:F166" si="272">E163/$E$142</f>
        <v>1.7696806814470896E-2</v>
      </c>
      <c r="G163" s="143"/>
      <c r="H163" s="27">
        <f t="shared" si="267"/>
        <v>1</v>
      </c>
      <c r="I163" s="143">
        <f t="shared" si="268"/>
        <v>1559.4615384615386</v>
      </c>
      <c r="J163" s="70">
        <f t="shared" si="228"/>
        <v>309.32255111382358</v>
      </c>
      <c r="K163" s="1"/>
    </row>
    <row r="164" spans="1:11" ht="14.25" customHeight="1" x14ac:dyDescent="0.15">
      <c r="A164" s="118" t="s">
        <v>348</v>
      </c>
      <c r="B164" s="98" t="s">
        <v>2053</v>
      </c>
      <c r="C164" s="143">
        <v>100.16</v>
      </c>
      <c r="D164" s="143"/>
      <c r="E164" s="143"/>
      <c r="F164" s="62">
        <f t="shared" si="272"/>
        <v>0</v>
      </c>
      <c r="G164" s="143"/>
      <c r="H164" s="27">
        <f t="shared" si="267"/>
        <v>0</v>
      </c>
      <c r="I164" s="143">
        <f t="shared" si="268"/>
        <v>0</v>
      </c>
      <c r="J164" s="70">
        <f t="shared" si="228"/>
        <v>0</v>
      </c>
      <c r="K164" s="1"/>
    </row>
    <row r="165" spans="1:11" s="86" customFormat="1" ht="14.25" customHeight="1" x14ac:dyDescent="0.15">
      <c r="A165" s="118" t="s">
        <v>1898</v>
      </c>
      <c r="B165" s="98" t="s">
        <v>2054</v>
      </c>
      <c r="C165" s="143">
        <v>90</v>
      </c>
      <c r="D165" s="143">
        <v>10</v>
      </c>
      <c r="E165" s="143">
        <v>11048.4</v>
      </c>
      <c r="F165" s="62">
        <f t="shared" ref="F165" si="273">E165/$E$142</f>
        <v>9.6444236377941223E-3</v>
      </c>
      <c r="G165" s="143">
        <v>9621.1</v>
      </c>
      <c r="H165" s="27">
        <f t="shared" ref="H165" si="274">IF(OR(E165=G165,AND(E165="",G165=0),AND(E165=0,G165="")),0%,IF(OR(G165="",G165=0),100%,(E165-G165)/ABS(G165)))</f>
        <v>0.14835102015362062</v>
      </c>
      <c r="I165" s="143">
        <f t="shared" ref="I165" si="275">IF(OR(D165=0,D165=""),0,E165/D165)</f>
        <v>1104.8399999999999</v>
      </c>
      <c r="J165" s="70">
        <f t="shared" ref="J165" si="276">E165/C165</f>
        <v>122.75999999999999</v>
      </c>
      <c r="K165" s="1"/>
    </row>
    <row r="166" spans="1:11" s="86" customFormat="1" ht="14.25" customHeight="1" x14ac:dyDescent="0.15">
      <c r="A166" s="118" t="s">
        <v>1066</v>
      </c>
      <c r="B166" s="98" t="s">
        <v>2055</v>
      </c>
      <c r="C166" s="143">
        <v>194.2</v>
      </c>
      <c r="D166" s="143">
        <v>15</v>
      </c>
      <c r="E166" s="143">
        <v>17551</v>
      </c>
      <c r="F166" s="62">
        <f t="shared" si="272"/>
        <v>1.532070519413894E-2</v>
      </c>
      <c r="G166" s="143">
        <v>10772</v>
      </c>
      <c r="H166" s="27">
        <f t="shared" si="267"/>
        <v>0.62931674712216856</v>
      </c>
      <c r="I166" s="143">
        <f t="shared" si="268"/>
        <v>1170.0666666666666</v>
      </c>
      <c r="J166" s="70">
        <f t="shared" si="228"/>
        <v>90.375901132852732</v>
      </c>
      <c r="K166" s="1"/>
    </row>
    <row r="167" spans="1:11" s="86" customFormat="1" ht="14.25" customHeight="1" x14ac:dyDescent="0.15">
      <c r="A167" s="118" t="s">
        <v>380</v>
      </c>
      <c r="B167" s="98" t="s">
        <v>2056</v>
      </c>
      <c r="C167" s="143">
        <v>175</v>
      </c>
      <c r="D167" s="143">
        <v>60</v>
      </c>
      <c r="E167" s="143">
        <v>27337</v>
      </c>
      <c r="F167" s="62">
        <f t="shared" ref="F167" si="277">E167/$E$142</f>
        <v>2.3863148418447732E-2</v>
      </c>
      <c r="G167" s="143">
        <v>19910</v>
      </c>
      <c r="H167" s="27">
        <f t="shared" ref="H167" si="278">IF(OR(E167=G167,AND(E167="",G167=0),AND(E167=0,G167="")),0%,IF(OR(G167="",G167=0),100%,(E167-G167)/ABS(G167)))</f>
        <v>0.37302862882973381</v>
      </c>
      <c r="I167" s="143">
        <f t="shared" ref="I167" si="279">IF(OR(D167=0,D167=""),0,E167/D167)</f>
        <v>455.61666666666667</v>
      </c>
      <c r="J167" s="70">
        <f t="shared" ref="J167" si="280">E167/C167</f>
        <v>156.21142857142857</v>
      </c>
      <c r="K167" s="1"/>
    </row>
    <row r="168" spans="1:11" s="86" customFormat="1" ht="14.25" customHeight="1" x14ac:dyDescent="0.15">
      <c r="A168" s="118" t="s">
        <v>1672</v>
      </c>
      <c r="B168" s="98" t="s">
        <v>2412</v>
      </c>
      <c r="C168" s="143">
        <v>32.630000000000003</v>
      </c>
      <c r="D168" s="143">
        <v>7</v>
      </c>
      <c r="E168" s="143">
        <v>17970</v>
      </c>
      <c r="F168" s="62">
        <v>2.6547512739501525E-2</v>
      </c>
      <c r="G168" s="143">
        <v>1600</v>
      </c>
      <c r="H168" s="27">
        <v>0.22565965852970227</v>
      </c>
      <c r="I168" s="143">
        <v>1510.6521739130435</v>
      </c>
      <c r="J168" s="70">
        <v>470.16238159675231</v>
      </c>
      <c r="K168" s="1"/>
    </row>
    <row r="169" spans="1:11" s="86" customFormat="1" ht="14.25" customHeight="1" x14ac:dyDescent="0.15">
      <c r="A169" s="118" t="s">
        <v>391</v>
      </c>
      <c r="B169" s="98" t="s">
        <v>2057</v>
      </c>
      <c r="C169" s="143">
        <v>73.900000000000006</v>
      </c>
      <c r="D169" s="143">
        <v>16</v>
      </c>
      <c r="E169" s="143">
        <v>28288</v>
      </c>
      <c r="F169" s="62">
        <f t="shared" ref="F169" si="281">E169/$E$142</f>
        <v>2.4693300013207357E-2</v>
      </c>
      <c r="G169" s="143">
        <v>15610</v>
      </c>
      <c r="H169" s="27">
        <f t="shared" ref="H169" si="282">IF(OR(E169=G169,AND(E169="",G169=0),AND(E169=0,G169="")),0%,IF(OR(G169="",G169=0),100%,(E169-G169)/ABS(G169)))</f>
        <v>0.81217168481742474</v>
      </c>
      <c r="I169" s="143">
        <f t="shared" ref="I169" si="283">IF(OR(D169=0,D169=""),0,E169/D169)</f>
        <v>1768</v>
      </c>
      <c r="J169" s="70">
        <f t="shared" ref="J169" si="284">E169/C169</f>
        <v>382.78755074424896</v>
      </c>
      <c r="K169" s="1"/>
    </row>
    <row r="170" spans="1:11" s="86" customFormat="1" ht="14.25" customHeight="1" x14ac:dyDescent="0.15">
      <c r="A170" s="118" t="s">
        <v>506</v>
      </c>
      <c r="B170" s="98" t="s">
        <v>2058</v>
      </c>
      <c r="C170" s="143">
        <v>49.76</v>
      </c>
      <c r="D170" s="143">
        <v>7</v>
      </c>
      <c r="E170" s="143">
        <v>12750</v>
      </c>
      <c r="F170" s="62">
        <f t="shared" ref="F170:F177" si="285">E170/$E$142</f>
        <v>1.1129792674222065E-2</v>
      </c>
      <c r="G170" s="143">
        <v>-1300</v>
      </c>
      <c r="H170" s="27">
        <f t="shared" ref="H170:H177" si="286">IF(OR(E170=G170,AND(E170="",G170=0),AND(E170=0,G170="")),0%,IF(OR(G170="",G170=0),100%,(E170-G170)/ABS(G170)))</f>
        <v>10.807692307692308</v>
      </c>
      <c r="I170" s="143">
        <f t="shared" ref="I170:I177" si="287">IF(OR(D170=0,D170=""),0,E170/D170)</f>
        <v>1821.4285714285713</v>
      </c>
      <c r="J170" s="70">
        <f t="shared" ref="J170:J177" si="288">E170/C170</f>
        <v>256.22990353697747</v>
      </c>
      <c r="K170" s="1"/>
    </row>
    <row r="171" spans="1:11" s="86" customFormat="1" ht="14.25" customHeight="1" x14ac:dyDescent="0.15">
      <c r="A171" s="176" t="s">
        <v>1686</v>
      </c>
      <c r="B171" s="177" t="s">
        <v>2059</v>
      </c>
      <c r="C171" s="295">
        <v>60</v>
      </c>
      <c r="D171" s="143">
        <v>14</v>
      </c>
      <c r="E171" s="143">
        <v>18210</v>
      </c>
      <c r="F171" s="62">
        <f t="shared" ref="F171" si="289">E171/$E$142</f>
        <v>1.5895962713535987E-2</v>
      </c>
      <c r="G171" s="143">
        <v>7750</v>
      </c>
      <c r="H171" s="27">
        <f t="shared" ref="H171" si="290">IF(OR(E171=G171,AND(E171="",G171=0),AND(E171=0,G171="")),0%,IF(OR(G171="",G171=0),100%,(E171-G171)/ABS(G171)))</f>
        <v>1.3496774193548386</v>
      </c>
      <c r="I171" s="143">
        <f t="shared" ref="I171" si="291">IF(OR(D171=0,D171=""),0,E171/D171)</f>
        <v>1300.7142857142858</v>
      </c>
      <c r="J171" s="70">
        <f t="shared" ref="J171" si="292">E171/C171</f>
        <v>303.5</v>
      </c>
      <c r="K171" s="1"/>
    </row>
    <row r="172" spans="1:11" s="86" customFormat="1" ht="14.25" customHeight="1" x14ac:dyDescent="0.15">
      <c r="A172" s="176" t="s">
        <v>1015</v>
      </c>
      <c r="B172" s="177" t="s">
        <v>2060</v>
      </c>
      <c r="C172" s="178">
        <v>75.680000000000007</v>
      </c>
      <c r="D172" s="178">
        <v>2</v>
      </c>
      <c r="E172" s="178">
        <v>8600</v>
      </c>
      <c r="F172" s="196">
        <f>E172/$E$142</f>
        <v>7.5071542743772365E-3</v>
      </c>
      <c r="G172" s="178">
        <v>4050</v>
      </c>
      <c r="H172" s="179">
        <f t="shared" ref="H172" si="293">IF(OR(E172=G172,AND(E172="",G172=0),AND(E172=0,G172="")),0%,IF(OR(G172="",G172=0),100%,(E172-G172)/ABS(G172)))</f>
        <v>1.1234567901234569</v>
      </c>
      <c r="I172" s="178">
        <f t="shared" ref="I172" si="294">IF(OR(D172=0,D172=""),0,E172/D172)</f>
        <v>4300</v>
      </c>
      <c r="J172" s="181">
        <f t="shared" ref="J172" si="295">E172/C172</f>
        <v>113.63636363636363</v>
      </c>
      <c r="K172" s="1"/>
    </row>
    <row r="173" spans="1:11" s="86" customFormat="1" ht="14.25" customHeight="1" x14ac:dyDescent="0.15">
      <c r="A173" s="176" t="s">
        <v>826</v>
      </c>
      <c r="B173" s="177" t="s">
        <v>2061</v>
      </c>
      <c r="C173" s="178">
        <v>81</v>
      </c>
      <c r="D173" s="178">
        <v>22</v>
      </c>
      <c r="E173" s="178">
        <v>33835</v>
      </c>
      <c r="F173" s="196">
        <f>E173/$E$142</f>
        <v>2.9535414520180672E-2</v>
      </c>
      <c r="G173" s="178">
        <v>20290</v>
      </c>
      <c r="H173" s="179">
        <f t="shared" ref="H173:H174" si="296">IF(OR(E173=G173,AND(E173="",G173=0),AND(E173=0,G173="")),0%,IF(OR(G173="",G173=0),100%,(E173-G173)/ABS(G173)))</f>
        <v>0.66757023164120255</v>
      </c>
      <c r="I173" s="178">
        <f t="shared" ref="I173:I174" si="297">IF(OR(D173=0,D173=""),0,E173/D173)</f>
        <v>1537.9545454545455</v>
      </c>
      <c r="J173" s="181">
        <f t="shared" ref="J173:J174" si="298">E173/C173</f>
        <v>417.71604938271605</v>
      </c>
      <c r="K173" s="1"/>
    </row>
    <row r="174" spans="1:11" s="86" customFormat="1" ht="14.25" customHeight="1" x14ac:dyDescent="0.15">
      <c r="A174" s="176" t="s">
        <v>1030</v>
      </c>
      <c r="B174" s="177" t="s">
        <v>2413</v>
      </c>
      <c r="C174" s="178">
        <v>2261.48</v>
      </c>
      <c r="D174" s="178">
        <v>399</v>
      </c>
      <c r="E174" s="178">
        <v>81569</v>
      </c>
      <c r="F174" s="196">
        <f>E174/$E$142</f>
        <v>7.1203612442636829E-2</v>
      </c>
      <c r="G174" s="178">
        <v>73286</v>
      </c>
      <c r="H174" s="179">
        <f t="shared" si="296"/>
        <v>0.11302295117757825</v>
      </c>
      <c r="I174" s="178">
        <f t="shared" si="297"/>
        <v>204.43358395989975</v>
      </c>
      <c r="J174" s="181">
        <f t="shared" si="298"/>
        <v>36.068857562304331</v>
      </c>
      <c r="K174" s="1"/>
    </row>
    <row r="175" spans="1:11" s="86" customFormat="1" ht="14.25" customHeight="1" x14ac:dyDescent="0.15">
      <c r="A175" s="176" t="s">
        <v>1075</v>
      </c>
      <c r="B175" s="177" t="s">
        <v>2062</v>
      </c>
      <c r="C175" s="178">
        <v>508</v>
      </c>
      <c r="D175" s="178">
        <v>29</v>
      </c>
      <c r="E175" s="178">
        <v>10996</v>
      </c>
      <c r="F175" s="196">
        <f>E175/$E$142</f>
        <v>9.59868237221536E-3</v>
      </c>
      <c r="G175" s="178">
        <v>16538</v>
      </c>
      <c r="H175" s="179">
        <f t="shared" ref="H175" si="299">IF(OR(E175=G175,AND(E175="",G175=0),AND(E175=0,G175="")),0%,IF(OR(G175="",G175=0),100%,(E175-G175)/ABS(G175)))</f>
        <v>-0.33510702624259281</v>
      </c>
      <c r="I175" s="178">
        <f t="shared" ref="I175" si="300">IF(OR(D175=0,D175=""),0,E175/D175)</f>
        <v>379.17241379310343</v>
      </c>
      <c r="J175" s="181">
        <f t="shared" ref="J175" si="301">E175/C175</f>
        <v>21.645669291338582</v>
      </c>
      <c r="K175" s="1"/>
    </row>
    <row r="176" spans="1:11" s="86" customFormat="1" ht="14.25" customHeight="1" x14ac:dyDescent="0.15">
      <c r="A176" s="176" t="s">
        <v>1706</v>
      </c>
      <c r="B176" s="177" t="s">
        <v>1702</v>
      </c>
      <c r="C176" s="178">
        <v>827</v>
      </c>
      <c r="D176" s="178">
        <v>1</v>
      </c>
      <c r="E176" s="178">
        <v>405000</v>
      </c>
      <c r="F176" s="196">
        <f>E176/$E$142</f>
        <v>0.3535345908282303</v>
      </c>
      <c r="G176" s="178"/>
      <c r="H176" s="179">
        <f t="shared" ref="H176" si="302">IF(OR(E176=G176,AND(E176="",G176=0),AND(E176=0,G176="")),0%,IF(OR(G176="",G176=0),100%,(E176-G176)/ABS(G176)))</f>
        <v>1</v>
      </c>
      <c r="I176" s="178">
        <f t="shared" ref="I176" si="303">IF(OR(D176=0,D176=""),0,E176/D176)</f>
        <v>405000</v>
      </c>
      <c r="J176" s="181">
        <f t="shared" ref="J176" si="304">E176/C176</f>
        <v>489.7218863361548</v>
      </c>
      <c r="K176" s="1"/>
    </row>
    <row r="177" spans="1:11" s="86" customFormat="1" ht="14.25" customHeight="1" x14ac:dyDescent="0.15">
      <c r="A177" s="176" t="s">
        <v>364</v>
      </c>
      <c r="B177" s="177" t="s">
        <v>2034</v>
      </c>
      <c r="C177" s="178">
        <v>27</v>
      </c>
      <c r="D177" s="178"/>
      <c r="E177" s="178"/>
      <c r="F177" s="196">
        <f t="shared" si="285"/>
        <v>0</v>
      </c>
      <c r="G177" s="178"/>
      <c r="H177" s="179">
        <f t="shared" si="286"/>
        <v>0</v>
      </c>
      <c r="I177" s="178">
        <f t="shared" si="287"/>
        <v>0</v>
      </c>
      <c r="J177" s="181">
        <f t="shared" si="288"/>
        <v>0</v>
      </c>
      <c r="K177" s="1"/>
    </row>
    <row r="178" spans="1:11" s="86" customFormat="1" ht="14.25" customHeight="1" x14ac:dyDescent="0.15">
      <c r="A178" s="176" t="s">
        <v>699</v>
      </c>
      <c r="B178" s="177" t="s">
        <v>1990</v>
      </c>
      <c r="C178" s="178">
        <v>22</v>
      </c>
      <c r="D178" s="178"/>
      <c r="E178" s="178"/>
      <c r="F178" s="196">
        <f t="shared" ref="F178" si="305">E178/$E$142</f>
        <v>0</v>
      </c>
      <c r="G178" s="178"/>
      <c r="H178" s="179">
        <f t="shared" ref="H178:H180" si="306">IF(OR(E178=G178,AND(E178="",G178=0),AND(E178=0,G178="")),0%,IF(OR(G178="",G178=0),100%,(E178-G178)/ABS(G178)))</f>
        <v>0</v>
      </c>
      <c r="I178" s="178">
        <f t="shared" ref="I178" si="307">IF(OR(D178=0,D178=""),0,E178/D178)</f>
        <v>0</v>
      </c>
      <c r="J178" s="181">
        <f t="shared" ref="J178" si="308">E178/C178</f>
        <v>0</v>
      </c>
      <c r="K178" s="1"/>
    </row>
    <row r="179" spans="1:11" s="86" customFormat="1" ht="14.25" customHeight="1" x14ac:dyDescent="0.15">
      <c r="A179" s="176" t="s">
        <v>179</v>
      </c>
      <c r="B179" s="177" t="s">
        <v>2063</v>
      </c>
      <c r="C179" s="178">
        <v>1954.7</v>
      </c>
      <c r="D179" s="178">
        <v>440</v>
      </c>
      <c r="E179" s="178">
        <v>145000</v>
      </c>
      <c r="F179" s="196">
        <f t="shared" ref="F179:F181" si="309">E179/$E$142</f>
        <v>0.12657411276566272</v>
      </c>
      <c r="G179" s="178">
        <v>145000</v>
      </c>
      <c r="H179" s="179">
        <f t="shared" si="306"/>
        <v>0</v>
      </c>
      <c r="I179" s="178">
        <f t="shared" ref="I179:I180" si="310">IF(OR(D179=0,D179=""),0,E179/D179)</f>
        <v>329.54545454545456</v>
      </c>
      <c r="J179" s="181">
        <f t="shared" ref="J179:J180" si="311">E179/C179</f>
        <v>74.180181101959377</v>
      </c>
      <c r="K179" s="1"/>
    </row>
    <row r="180" spans="1:11" s="86" customFormat="1" ht="14.25" customHeight="1" x14ac:dyDescent="0.15">
      <c r="A180" s="176" t="s">
        <v>180</v>
      </c>
      <c r="B180" s="177" t="s">
        <v>2414</v>
      </c>
      <c r="C180" s="178">
        <v>434.2</v>
      </c>
      <c r="D180" s="178">
        <v>1</v>
      </c>
      <c r="E180" s="178">
        <v>23000</v>
      </c>
      <c r="F180" s="196">
        <f t="shared" si="309"/>
        <v>2.0077273059380982E-2</v>
      </c>
      <c r="G180" s="178">
        <v>23000</v>
      </c>
      <c r="H180" s="179">
        <f t="shared" si="306"/>
        <v>0</v>
      </c>
      <c r="I180" s="178">
        <f t="shared" si="310"/>
        <v>23000</v>
      </c>
      <c r="J180" s="181">
        <f t="shared" si="311"/>
        <v>52.970981114693693</v>
      </c>
      <c r="K180" s="1"/>
    </row>
    <row r="181" spans="1:11" s="86" customFormat="1" ht="14.25" customHeight="1" x14ac:dyDescent="0.15">
      <c r="A181" s="176" t="s">
        <v>1583</v>
      </c>
      <c r="B181" s="177" t="s">
        <v>2415</v>
      </c>
      <c r="C181" s="178">
        <v>21</v>
      </c>
      <c r="D181" s="178">
        <v>22</v>
      </c>
      <c r="E181" s="178">
        <v>1170</v>
      </c>
      <c r="F181" s="196">
        <f t="shared" si="309"/>
        <v>1.0213221512815542E-3</v>
      </c>
      <c r="G181" s="178">
        <v>1422</v>
      </c>
      <c r="H181" s="179">
        <f t="shared" ref="H181:H183" si="312">IF(OR(E181=G181,AND(E181="",G181=0),AND(E181=0,G181="")),0%,IF(OR(G181="",G181=0),100%,(E181-G181)/ABS(G181)))</f>
        <v>-0.17721518987341772</v>
      </c>
      <c r="I181" s="178">
        <f t="shared" ref="I181:I183" si="313">IF(OR(D181=0,D181=""),0,E181/D181)</f>
        <v>53.18181818181818</v>
      </c>
      <c r="J181" s="181">
        <f t="shared" ref="J181:J183" si="314">E181/C181</f>
        <v>55.714285714285715</v>
      </c>
      <c r="K181" s="1"/>
    </row>
    <row r="182" spans="1:11" s="86" customFormat="1" ht="14.25" customHeight="1" x14ac:dyDescent="0.15">
      <c r="A182" s="176" t="s">
        <v>1081</v>
      </c>
      <c r="B182" s="177" t="s">
        <v>2064</v>
      </c>
      <c r="C182" s="295">
        <v>173</v>
      </c>
      <c r="D182" s="178">
        <v>2</v>
      </c>
      <c r="E182" s="178">
        <v>436</v>
      </c>
      <c r="F182" s="196">
        <f t="shared" ref="F182:F183" si="315">E182/$E$142</f>
        <v>3.8059526321261339E-4</v>
      </c>
      <c r="G182" s="178">
        <v>246</v>
      </c>
      <c r="H182" s="179">
        <f t="shared" si="312"/>
        <v>0.77235772357723576</v>
      </c>
      <c r="I182" s="178">
        <f t="shared" si="313"/>
        <v>218</v>
      </c>
      <c r="J182" s="181">
        <f t="shared" si="314"/>
        <v>2.5202312138728322</v>
      </c>
      <c r="K182" s="1"/>
    </row>
    <row r="183" spans="1:11" s="86" customFormat="1" ht="14.25" customHeight="1" x14ac:dyDescent="0.15">
      <c r="A183" s="124" t="s">
        <v>1681</v>
      </c>
      <c r="B183" s="97" t="s">
        <v>2065</v>
      </c>
      <c r="C183" s="296">
        <v>440</v>
      </c>
      <c r="D183" s="164">
        <v>1</v>
      </c>
      <c r="E183" s="164">
        <v>35000</v>
      </c>
      <c r="F183" s="114">
        <f t="shared" si="315"/>
        <v>3.0552372046884102E-2</v>
      </c>
      <c r="G183" s="164">
        <v>35000</v>
      </c>
      <c r="H183" s="29">
        <f t="shared" si="312"/>
        <v>0</v>
      </c>
      <c r="I183" s="164">
        <f t="shared" si="313"/>
        <v>35000</v>
      </c>
      <c r="J183" s="71">
        <f t="shared" si="314"/>
        <v>79.545454545454547</v>
      </c>
      <c r="K183" s="1"/>
    </row>
    <row r="184" spans="1:11" ht="14.25" customHeight="1" x14ac:dyDescent="0.15"/>
    <row r="185" spans="1:11" ht="14.25" customHeight="1" x14ac:dyDescent="0.15">
      <c r="A185" s="322" t="s">
        <v>68</v>
      </c>
      <c r="B185" s="323"/>
      <c r="C185" s="323"/>
      <c r="D185" s="323"/>
      <c r="E185" s="323"/>
      <c r="F185" s="323"/>
      <c r="G185" s="323"/>
      <c r="H185" s="323"/>
      <c r="I185" s="323"/>
      <c r="J185" s="324"/>
    </row>
    <row r="186" spans="1:11" ht="14.25" customHeight="1" x14ac:dyDescent="0.15">
      <c r="A186" s="48" t="s">
        <v>116</v>
      </c>
      <c r="B186" s="49" t="s">
        <v>69</v>
      </c>
      <c r="C186" s="145" t="s">
        <v>70</v>
      </c>
      <c r="D186" s="162" t="s">
        <v>71</v>
      </c>
      <c r="E186" s="50" t="s">
        <v>72</v>
      </c>
      <c r="F186" s="49" t="s">
        <v>73</v>
      </c>
      <c r="G186" s="49" t="s">
        <v>74</v>
      </c>
      <c r="H186" s="51" t="s">
        <v>75</v>
      </c>
      <c r="I186" s="51" t="s">
        <v>76</v>
      </c>
      <c r="J186" s="52" t="s">
        <v>77</v>
      </c>
    </row>
    <row r="187" spans="1:11" ht="14.25" customHeight="1" x14ac:dyDescent="0.15">
      <c r="A187" s="47" t="s">
        <v>78</v>
      </c>
      <c r="B187" s="45"/>
      <c r="C187" s="146">
        <f>SUM(C188:C248)</f>
        <v>7074.45</v>
      </c>
      <c r="D187" s="146">
        <f>SUM(D188:D248)</f>
        <v>400</v>
      </c>
      <c r="E187" s="46">
        <f>SUM(E188:E248)</f>
        <v>440987.80000000005</v>
      </c>
      <c r="F187" s="105">
        <f>SUM(F188:F248)</f>
        <v>0.99999999999999967</v>
      </c>
      <c r="G187" s="46">
        <f>SUM(G188:G248)</f>
        <v>373419.80000000005</v>
      </c>
      <c r="H187" s="44">
        <f t="shared" ref="H187:H206" si="316">IF(OR(E187=G187,AND(E187="",G187=0),AND(E187=0,G187="")),0%,IF(OR(G187="",G187=0),100%,(E187-G187)/ABS(G187)))</f>
        <v>0.18094380640769447</v>
      </c>
      <c r="I187" s="79">
        <f t="shared" ref="I187" si="317">IF(OR(D187=0,D187=""),0,E187/D187)</f>
        <v>1102.4695000000002</v>
      </c>
      <c r="J187" s="72">
        <f>E187/C187</f>
        <v>62.335276947324537</v>
      </c>
    </row>
    <row r="188" spans="1:11" s="86" customFormat="1" ht="14.25" customHeight="1" x14ac:dyDescent="0.15">
      <c r="A188" s="118" t="s">
        <v>831</v>
      </c>
      <c r="B188" s="98" t="s">
        <v>2416</v>
      </c>
      <c r="C188" s="143">
        <v>108.21</v>
      </c>
      <c r="D188" s="143">
        <v>7</v>
      </c>
      <c r="E188" s="143">
        <v>4920</v>
      </c>
      <c r="F188" s="62">
        <f>E188/$E$187</f>
        <v>1.1156771230405919E-2</v>
      </c>
      <c r="G188" s="143">
        <v>6822</v>
      </c>
      <c r="H188" s="27">
        <f t="shared" ref="H188" si="318">IF(OR(E188=G188,AND(E188="",G188=0),AND(E188=0,G188="")),0%,IF(OR(G188="",G188=0),100%,(E188-G188)/ABS(G188)))</f>
        <v>-0.27880386983289357</v>
      </c>
      <c r="I188" s="35">
        <f t="shared" ref="I188" si="319">IF(OR(D188=0,D188=""),0,E188/D188)</f>
        <v>702.85714285714289</v>
      </c>
      <c r="J188" s="70">
        <f t="shared" ref="J188" si="320">E188/C188</f>
        <v>45.467147213751041</v>
      </c>
      <c r="K188" s="1"/>
    </row>
    <row r="189" spans="1:11" s="86" customFormat="1" ht="14.25" customHeight="1" x14ac:dyDescent="0.15">
      <c r="A189" s="118" t="s">
        <v>855</v>
      </c>
      <c r="B189" s="98" t="s">
        <v>2417</v>
      </c>
      <c r="C189" s="143">
        <v>124.35</v>
      </c>
      <c r="D189" s="143"/>
      <c r="E189" s="143"/>
      <c r="F189" s="62">
        <f>E189/$E$187</f>
        <v>0</v>
      </c>
      <c r="G189" s="143">
        <v>5266</v>
      </c>
      <c r="H189" s="27">
        <f t="shared" ref="H189" si="321">IF(OR(E189=G189,AND(E189="",G189=0),AND(E189=0,G189="")),0%,IF(OR(G189="",G189=0),100%,(E189-G189)/ABS(G189)))</f>
        <v>-1</v>
      </c>
      <c r="I189" s="35">
        <f t="shared" ref="I189" si="322">IF(OR(D189=0,D189=""),0,E189/D189)</f>
        <v>0</v>
      </c>
      <c r="J189" s="70">
        <f t="shared" ref="J189" si="323">E189/C189</f>
        <v>0</v>
      </c>
      <c r="K189" s="1"/>
    </row>
    <row r="190" spans="1:11" s="86" customFormat="1" ht="14.25" customHeight="1" x14ac:dyDescent="0.15">
      <c r="A190" s="118" t="s">
        <v>861</v>
      </c>
      <c r="B190" s="98" t="s">
        <v>2066</v>
      </c>
      <c r="C190" s="143">
        <v>137.86000000000001</v>
      </c>
      <c r="D190" s="143">
        <v>8</v>
      </c>
      <c r="E190" s="143">
        <v>29682</v>
      </c>
      <c r="F190" s="62">
        <f>E190/$E$187</f>
        <v>6.7307984483924485E-2</v>
      </c>
      <c r="G190" s="143">
        <v>3942</v>
      </c>
      <c r="H190" s="27">
        <f t="shared" ref="H190" si="324">IF(OR(E190=G190,AND(E190="",G190=0),AND(E190=0,G190="")),0%,IF(OR(G190="",G190=0),100%,(E190-G190)/ABS(G190)))</f>
        <v>6.5296803652968034</v>
      </c>
      <c r="I190" s="35">
        <f t="shared" ref="I190" si="325">IF(OR(D190=0,D190=""),0,E190/D190)</f>
        <v>3710.25</v>
      </c>
      <c r="J190" s="70">
        <f t="shared" ref="J190" si="326">E190/C190</f>
        <v>215.30538227187</v>
      </c>
      <c r="K190" s="1"/>
    </row>
    <row r="191" spans="1:11" s="86" customFormat="1" ht="14.25" customHeight="1" x14ac:dyDescent="0.15">
      <c r="A191" s="118" t="s">
        <v>761</v>
      </c>
      <c r="B191" s="98" t="s">
        <v>2067</v>
      </c>
      <c r="C191" s="143">
        <v>93.11</v>
      </c>
      <c r="D191" s="143">
        <v>4</v>
      </c>
      <c r="E191" s="143">
        <v>8638</v>
      </c>
      <c r="F191" s="62">
        <f>E191/$E$187</f>
        <v>1.95878434732208E-2</v>
      </c>
      <c r="G191" s="143">
        <v>-1680</v>
      </c>
      <c r="H191" s="27">
        <f t="shared" ref="H191" si="327">IF(OR(E191=G191,AND(E191="",G191=0),AND(E191=0,G191="")),0%,IF(OR(G191="",G191=0),100%,(E191-G191)/ABS(G191)))</f>
        <v>6.1416666666666666</v>
      </c>
      <c r="I191" s="35">
        <f t="shared" ref="I191" si="328">IF(OR(D191=0,D191=""),0,E191/D191)</f>
        <v>2159.5</v>
      </c>
      <c r="J191" s="70">
        <f t="shared" ref="J191" si="329">E191/C191</f>
        <v>92.771990119213839</v>
      </c>
      <c r="K191" s="1"/>
    </row>
    <row r="192" spans="1:11" s="86" customFormat="1" ht="14.25" customHeight="1" x14ac:dyDescent="0.15">
      <c r="A192" s="118" t="s">
        <v>899</v>
      </c>
      <c r="B192" s="98" t="s">
        <v>2418</v>
      </c>
      <c r="C192" s="143">
        <v>309.69</v>
      </c>
      <c r="D192" s="143">
        <v>7</v>
      </c>
      <c r="E192" s="143">
        <v>15594</v>
      </c>
      <c r="F192" s="62">
        <f>E192/$E$187</f>
        <v>3.5361522472957298E-2</v>
      </c>
      <c r="G192" s="143">
        <v>3507</v>
      </c>
      <c r="H192" s="27">
        <f t="shared" ref="H192" si="330">IF(OR(E192=G192,AND(E192="",G192=0),AND(E192=0,G192="")),0%,IF(OR(G192="",G192=0),100%,(E192-G192)/ABS(G192)))</f>
        <v>3.4465355004277161</v>
      </c>
      <c r="I192" s="35">
        <f t="shared" ref="I192" si="331">IF(OR(D192=0,D192=""),0,E192/D192)</f>
        <v>2227.7142857142858</v>
      </c>
      <c r="J192" s="70">
        <f t="shared" ref="J192" si="332">E192/C192</f>
        <v>50.353579385837449</v>
      </c>
      <c r="K192" s="1"/>
    </row>
    <row r="193" spans="1:11" ht="14.25" customHeight="1" x14ac:dyDescent="0.15">
      <c r="A193" s="118" t="s">
        <v>161</v>
      </c>
      <c r="B193" s="98" t="s">
        <v>2068</v>
      </c>
      <c r="C193" s="143">
        <v>90</v>
      </c>
      <c r="D193" s="143">
        <v>7</v>
      </c>
      <c r="E193" s="143">
        <v>16595</v>
      </c>
      <c r="F193" s="62">
        <f t="shared" ref="F193:F196" si="333">E193/$E$187</f>
        <v>3.7631426538330535E-2</v>
      </c>
      <c r="G193" s="143">
        <v>7460</v>
      </c>
      <c r="H193" s="27">
        <f t="shared" ref="H193:H196" si="334">IF(OR(E193=G193,AND(E193="",G193=0),AND(E193=0,G193="")),0%,IF(OR(G193="",G193=0),100%,(E193-G193)/ABS(G193)))</f>
        <v>1.2245308310991958</v>
      </c>
      <c r="I193" s="35">
        <f t="shared" ref="I193:I196" si="335">IF(OR(D193=0,D193=""),0,E193/D193)</f>
        <v>2370.7142857142858</v>
      </c>
      <c r="J193" s="70">
        <f t="shared" ref="J193:J196" si="336">E193/C193</f>
        <v>184.38888888888889</v>
      </c>
      <c r="K193" s="1"/>
    </row>
    <row r="194" spans="1:11" s="86" customFormat="1" ht="14.25" customHeight="1" x14ac:dyDescent="0.15">
      <c r="A194" s="118" t="s">
        <v>1890</v>
      </c>
      <c r="B194" s="98" t="s">
        <v>2069</v>
      </c>
      <c r="C194" s="143">
        <v>179</v>
      </c>
      <c r="D194" s="143">
        <v>13</v>
      </c>
      <c r="E194" s="143">
        <v>12472.3</v>
      </c>
      <c r="F194" s="62">
        <f t="shared" ref="F194:F195" si="337">E194/$E$187</f>
        <v>2.8282641832721899E-2</v>
      </c>
      <c r="G194" s="143">
        <v>10041.299999999999</v>
      </c>
      <c r="H194" s="27">
        <f t="shared" ref="H194:H195" si="338">IF(OR(E194=G194,AND(E194="",G194=0),AND(E194=0,G194="")),0%,IF(OR(G194="",G194=0),100%,(E194-G194)/ABS(G194)))</f>
        <v>0.24210012647764734</v>
      </c>
      <c r="I194" s="35">
        <f t="shared" ref="I194:I195" si="339">IF(OR(D194=0,D194=""),0,E194/D194)</f>
        <v>959.40769230769229</v>
      </c>
      <c r="J194" s="70">
        <f t="shared" ref="J194:J195" si="340">E194/C194</f>
        <v>69.677653631284912</v>
      </c>
      <c r="K194" s="1"/>
    </row>
    <row r="195" spans="1:11" s="86" customFormat="1" ht="14.25" customHeight="1" x14ac:dyDescent="0.15">
      <c r="A195" s="118" t="s">
        <v>1902</v>
      </c>
      <c r="B195" s="98" t="s">
        <v>2070</v>
      </c>
      <c r="C195" s="143">
        <v>153</v>
      </c>
      <c r="D195" s="143">
        <v>8</v>
      </c>
      <c r="E195" s="143">
        <v>3058.3</v>
      </c>
      <c r="F195" s="62">
        <f t="shared" si="337"/>
        <v>6.9351124906403307E-3</v>
      </c>
      <c r="G195" s="143">
        <v>4649</v>
      </c>
      <c r="H195" s="27">
        <f t="shared" si="338"/>
        <v>-0.34215960421596037</v>
      </c>
      <c r="I195" s="35">
        <f t="shared" si="339"/>
        <v>382.28750000000002</v>
      </c>
      <c r="J195" s="70">
        <f t="shared" si="340"/>
        <v>19.988888888888891</v>
      </c>
      <c r="K195" s="1"/>
    </row>
    <row r="196" spans="1:11" s="86" customFormat="1" ht="14.25" customHeight="1" x14ac:dyDescent="0.15">
      <c r="A196" s="118" t="s">
        <v>679</v>
      </c>
      <c r="B196" s="98" t="s">
        <v>2071</v>
      </c>
      <c r="C196" s="143">
        <v>59</v>
      </c>
      <c r="D196" s="143">
        <v>8</v>
      </c>
      <c r="E196" s="143">
        <v>5625</v>
      </c>
      <c r="F196" s="62">
        <f t="shared" si="333"/>
        <v>1.2755454912811645E-2</v>
      </c>
      <c r="G196" s="143">
        <v>2978</v>
      </c>
      <c r="H196" s="27">
        <f t="shared" si="334"/>
        <v>0.88885157824042982</v>
      </c>
      <c r="I196" s="35">
        <f t="shared" si="335"/>
        <v>703.125</v>
      </c>
      <c r="J196" s="70">
        <f t="shared" si="336"/>
        <v>95.33898305084746</v>
      </c>
      <c r="K196" s="1"/>
    </row>
    <row r="197" spans="1:11" s="86" customFormat="1" ht="14.25" customHeight="1" x14ac:dyDescent="0.15">
      <c r="A197" s="118" t="s">
        <v>675</v>
      </c>
      <c r="B197" s="98" t="s">
        <v>2072</v>
      </c>
      <c r="C197" s="143">
        <v>80</v>
      </c>
      <c r="D197" s="143">
        <v>2</v>
      </c>
      <c r="E197" s="143">
        <v>3561</v>
      </c>
      <c r="F197" s="62">
        <f t="shared" ref="F197" si="341">E197/$E$187</f>
        <v>8.0750533234706257E-3</v>
      </c>
      <c r="G197" s="143">
        <v>4194.3999999999996</v>
      </c>
      <c r="H197" s="27">
        <f t="shared" ref="H197" si="342">IF(OR(E197=G197,AND(E197="",G197=0),AND(E197=0,G197="")),0%,IF(OR(G197="",G197=0),100%,(E197-G197)/ABS(G197)))</f>
        <v>-0.1510108716383749</v>
      </c>
      <c r="I197" s="35">
        <f t="shared" ref="I197" si="343">IF(OR(D197=0,D197=""),0,E197/D197)</f>
        <v>1780.5</v>
      </c>
      <c r="J197" s="70">
        <f t="shared" ref="J197" si="344">E197/C197</f>
        <v>44.512500000000003</v>
      </c>
      <c r="K197" s="1"/>
    </row>
    <row r="198" spans="1:11" s="86" customFormat="1" ht="14.25" customHeight="1" x14ac:dyDescent="0.15">
      <c r="A198" s="118" t="s">
        <v>1835</v>
      </c>
      <c r="B198" s="98" t="s">
        <v>2073</v>
      </c>
      <c r="C198" s="143">
        <v>72</v>
      </c>
      <c r="D198" s="143">
        <v>2</v>
      </c>
      <c r="E198" s="143">
        <v>3518</v>
      </c>
      <c r="F198" s="62">
        <f t="shared" ref="F198" si="345">E198/$E$187</f>
        <v>7.9775449570260205E-3</v>
      </c>
      <c r="G198" s="143">
        <v>6852</v>
      </c>
      <c r="H198" s="27">
        <f t="shared" ref="H198" si="346">IF(OR(E198=G198,AND(E198="",G198=0),AND(E198=0,G198="")),0%,IF(OR(G198="",G198=0),100%,(E198-G198)/ABS(G198)))</f>
        <v>-0.48657326328079392</v>
      </c>
      <c r="I198" s="35">
        <f t="shared" ref="I198" si="347">IF(OR(D198=0,D198=""),0,E198/D198)</f>
        <v>1759</v>
      </c>
      <c r="J198" s="70">
        <f t="shared" ref="J198" si="348">E198/C198</f>
        <v>48.861111111111114</v>
      </c>
      <c r="K198" s="1"/>
    </row>
    <row r="199" spans="1:11" ht="14.25" customHeight="1" x14ac:dyDescent="0.15">
      <c r="A199" s="118" t="s">
        <v>1888</v>
      </c>
      <c r="B199" s="98" t="s">
        <v>2053</v>
      </c>
      <c r="C199" s="143">
        <v>86.42</v>
      </c>
      <c r="D199" s="143">
        <v>3</v>
      </c>
      <c r="E199" s="143">
        <v>3829</v>
      </c>
      <c r="F199" s="62">
        <f>E199/$E$187</f>
        <v>8.6827798864276967E-3</v>
      </c>
      <c r="G199" s="143">
        <v>7001</v>
      </c>
      <c r="H199" s="27">
        <f t="shared" si="316"/>
        <v>-0.45307813169547206</v>
      </c>
      <c r="I199" s="35">
        <f t="shared" ref="I199:I208" si="349">IF(OR(D199=0,D199=""),0,E199/D199)</f>
        <v>1276.3333333333333</v>
      </c>
      <c r="J199" s="70">
        <f t="shared" ref="J199" si="350">E199/C199</f>
        <v>44.306873408933114</v>
      </c>
      <c r="K199" s="1"/>
    </row>
    <row r="200" spans="1:11" s="86" customFormat="1" ht="14.25" customHeight="1" x14ac:dyDescent="0.15">
      <c r="A200" s="118" t="s">
        <v>587</v>
      </c>
      <c r="B200" s="98" t="s">
        <v>2074</v>
      </c>
      <c r="C200" s="143">
        <v>122.47</v>
      </c>
      <c r="D200" s="143">
        <v>16</v>
      </c>
      <c r="E200" s="143">
        <v>15933</v>
      </c>
      <c r="F200" s="62">
        <f t="shared" ref="F200:F201" si="351">E200/$E$187</f>
        <v>3.6130251222369417E-2</v>
      </c>
      <c r="G200" s="143">
        <v>11180</v>
      </c>
      <c r="H200" s="27">
        <f t="shared" ref="H200:H201" si="352">IF(OR(E200=G200,AND(E200="",G200=0),AND(E200=0,G200="")),0%,IF(OR(G200="",G200=0),100%,(E200-G200)/ABS(G200)))</f>
        <v>0.425134168157424</v>
      </c>
      <c r="I200" s="35">
        <f t="shared" ref="I200:I201" si="353">IF(OR(D200=0,D200=""),0,E200/D200)</f>
        <v>995.8125</v>
      </c>
      <c r="J200" s="70">
        <f t="shared" ref="J200:J201" si="354">E200/C200</f>
        <v>130.09716665305788</v>
      </c>
      <c r="K200" s="1"/>
    </row>
    <row r="201" spans="1:11" s="86" customFormat="1" ht="14.25" customHeight="1" x14ac:dyDescent="0.15">
      <c r="A201" s="118" t="s">
        <v>1056</v>
      </c>
      <c r="B201" s="98" t="s">
        <v>2075</v>
      </c>
      <c r="C201" s="143">
        <v>85</v>
      </c>
      <c r="D201" s="143">
        <v>6</v>
      </c>
      <c r="E201" s="143">
        <v>3243</v>
      </c>
      <c r="F201" s="62">
        <f t="shared" si="351"/>
        <v>7.3539449390663406E-3</v>
      </c>
      <c r="G201" s="143">
        <v>1198</v>
      </c>
      <c r="H201" s="27">
        <f t="shared" si="352"/>
        <v>1.7070116861435727</v>
      </c>
      <c r="I201" s="35">
        <f t="shared" si="353"/>
        <v>540.5</v>
      </c>
      <c r="J201" s="70">
        <f t="shared" si="354"/>
        <v>38.152941176470591</v>
      </c>
      <c r="K201" s="1"/>
    </row>
    <row r="202" spans="1:11" s="86" customFormat="1" ht="14.25" customHeight="1" x14ac:dyDescent="0.15">
      <c r="A202" s="118" t="s">
        <v>1045</v>
      </c>
      <c r="B202" s="98" t="s">
        <v>2076</v>
      </c>
      <c r="C202" s="143">
        <v>95</v>
      </c>
      <c r="D202" s="143">
        <v>2</v>
      </c>
      <c r="E202" s="143">
        <v>6024</v>
      </c>
      <c r="F202" s="62">
        <f t="shared" ref="F202" si="355">E202/$E$187</f>
        <v>1.3660241847960419E-2</v>
      </c>
      <c r="G202" s="143">
        <v>6142</v>
      </c>
      <c r="H202" s="27">
        <f t="shared" ref="H202" si="356">IF(OR(E202=G202,AND(E202="",G202=0),AND(E202=0,G202="")),0%,IF(OR(G202="",G202=0),100%,(E202-G202)/ABS(G202)))</f>
        <v>-1.9211983067404754E-2</v>
      </c>
      <c r="I202" s="35">
        <f t="shared" ref="I202" si="357">IF(OR(D202=0,D202=""),0,E202/D202)</f>
        <v>3012</v>
      </c>
      <c r="J202" s="70">
        <f t="shared" ref="J202" si="358">E202/C202</f>
        <v>63.410526315789475</v>
      </c>
      <c r="K202" s="1"/>
    </row>
    <row r="203" spans="1:11" s="86" customFormat="1" ht="14.25" customHeight="1" x14ac:dyDescent="0.15">
      <c r="A203" s="118" t="s">
        <v>1863</v>
      </c>
      <c r="B203" s="98" t="s">
        <v>2077</v>
      </c>
      <c r="C203" s="143">
        <v>97</v>
      </c>
      <c r="D203" s="143">
        <v>5</v>
      </c>
      <c r="E203" s="143">
        <v>14714</v>
      </c>
      <c r="F203" s="62">
        <f t="shared" ref="F203" si="359">E203/$E$187</f>
        <v>3.3366002415486318E-2</v>
      </c>
      <c r="G203" s="143">
        <v>5994</v>
      </c>
      <c r="H203" s="27">
        <f t="shared" ref="H203" si="360">IF(OR(E203=G203,AND(E203="",G203=0),AND(E203=0,G203="")),0%,IF(OR(G203="",G203=0),100%,(E203-G203)/ABS(G203)))</f>
        <v>1.4547881214547882</v>
      </c>
      <c r="I203" s="35">
        <f t="shared" ref="I203" si="361">IF(OR(D203=0,D203=""),0,E203/D203)</f>
        <v>2942.8</v>
      </c>
      <c r="J203" s="70">
        <f t="shared" ref="J203" si="362">E203/C203</f>
        <v>151.69072164948454</v>
      </c>
      <c r="K203" s="1"/>
    </row>
    <row r="204" spans="1:11" s="86" customFormat="1" ht="14.25" customHeight="1" x14ac:dyDescent="0.15">
      <c r="A204" s="118" t="s">
        <v>644</v>
      </c>
      <c r="B204" s="98" t="s">
        <v>2078</v>
      </c>
      <c r="C204" s="143">
        <v>100</v>
      </c>
      <c r="D204" s="143">
        <v>3</v>
      </c>
      <c r="E204" s="143">
        <v>8565</v>
      </c>
      <c r="F204" s="62">
        <f>E204/$E$187</f>
        <v>1.9422306013907865E-2</v>
      </c>
      <c r="G204" s="143">
        <v>5287</v>
      </c>
      <c r="H204" s="27">
        <f t="shared" ref="H204" si="363">IF(OR(E204=G204,AND(E204="",G204=0),AND(E204=0,G204="")),0%,IF(OR(G204="",G204=0),100%,(E204-G204)/ABS(G204)))</f>
        <v>0.62001134859088325</v>
      </c>
      <c r="I204" s="35">
        <f t="shared" ref="I204" si="364">IF(OR(D204=0,D204=""),0,E204/D204)</f>
        <v>2855</v>
      </c>
      <c r="J204" s="70">
        <f t="shared" ref="J204:J206" si="365">E204/C204</f>
        <v>85.65</v>
      </c>
      <c r="K204" s="1"/>
    </row>
    <row r="205" spans="1:11" ht="14.25" customHeight="1" x14ac:dyDescent="0.15">
      <c r="A205" s="118" t="s">
        <v>124</v>
      </c>
      <c r="B205" s="98" t="s">
        <v>2079</v>
      </c>
      <c r="C205" s="143">
        <v>169.64</v>
      </c>
      <c r="D205" s="143">
        <v>2</v>
      </c>
      <c r="E205" s="143">
        <v>2540</v>
      </c>
      <c r="F205" s="62">
        <f>E205/$E$187</f>
        <v>5.759796529518503E-3</v>
      </c>
      <c r="G205" s="143">
        <v>795</v>
      </c>
      <c r="H205" s="27">
        <f t="shared" si="316"/>
        <v>2.1949685534591197</v>
      </c>
      <c r="I205" s="35">
        <f t="shared" si="349"/>
        <v>1270</v>
      </c>
      <c r="J205" s="70">
        <f t="shared" si="365"/>
        <v>14.972883753831645</v>
      </c>
      <c r="K205" s="1"/>
    </row>
    <row r="206" spans="1:11" s="86" customFormat="1" ht="14.25" customHeight="1" x14ac:dyDescent="0.15">
      <c r="A206" s="118" t="s">
        <v>1611</v>
      </c>
      <c r="B206" s="98" t="s">
        <v>2080</v>
      </c>
      <c r="C206" s="143">
        <v>140.63999999999999</v>
      </c>
      <c r="D206" s="143">
        <v>4</v>
      </c>
      <c r="E206" s="143">
        <v>7492</v>
      </c>
      <c r="F206" s="62">
        <f>E206/$E$187</f>
        <v>1.698913212565064E-2</v>
      </c>
      <c r="G206" s="143">
        <v>2496</v>
      </c>
      <c r="H206" s="27">
        <f t="shared" si="316"/>
        <v>2.0016025641025643</v>
      </c>
      <c r="I206" s="35">
        <f t="shared" si="349"/>
        <v>1873</v>
      </c>
      <c r="J206" s="70">
        <f t="shared" si="365"/>
        <v>53.270762229806607</v>
      </c>
      <c r="K206" s="1"/>
    </row>
    <row r="207" spans="1:11" s="86" customFormat="1" ht="14.25" customHeight="1" x14ac:dyDescent="0.15">
      <c r="A207" s="118" t="s">
        <v>1613</v>
      </c>
      <c r="B207" s="98" t="s">
        <v>2081</v>
      </c>
      <c r="C207" s="143">
        <v>85.68</v>
      </c>
      <c r="D207" s="143">
        <v>1</v>
      </c>
      <c r="E207" s="143">
        <v>1390</v>
      </c>
      <c r="F207" s="62">
        <f>E207/$E$187</f>
        <v>3.1520146362325665E-3</v>
      </c>
      <c r="G207" s="143"/>
      <c r="H207" s="27">
        <f t="shared" ref="H207" si="366">IF(OR(E207=G207,AND(E207="",G207=0),AND(E207=0,G207="")),0%,IF(OR(G207="",G207=0),100%,(E207-G207)/ABS(G207)))</f>
        <v>1</v>
      </c>
      <c r="I207" s="35">
        <f t="shared" ref="I207" si="367">IF(OR(D207=0,D207=""),0,E207/D207)</f>
        <v>1390</v>
      </c>
      <c r="J207" s="70">
        <f t="shared" ref="J207" si="368">E207/C207</f>
        <v>16.223155929038281</v>
      </c>
      <c r="K207" s="1"/>
    </row>
    <row r="208" spans="1:11" s="86" customFormat="1" ht="14.25" customHeight="1" x14ac:dyDescent="0.15">
      <c r="A208" s="118" t="s">
        <v>572</v>
      </c>
      <c r="B208" s="98" t="s">
        <v>2082</v>
      </c>
      <c r="C208" s="143">
        <v>137</v>
      </c>
      <c r="D208" s="143">
        <v>3</v>
      </c>
      <c r="E208" s="143">
        <v>16332</v>
      </c>
      <c r="F208" s="62">
        <f t="shared" ref="F208" si="369">E208/$E$187</f>
        <v>3.7035038157518185E-2</v>
      </c>
      <c r="G208" s="143">
        <v>4386</v>
      </c>
      <c r="H208" s="27">
        <f t="shared" ref="H208" si="370">IF(OR(E208=G208,AND(E208="",G208=0),AND(E208=0,G208="")),0%,IF(OR(G208="",G208=0),100%,(E208-G208)/ABS(G208)))</f>
        <v>2.7236662106703147</v>
      </c>
      <c r="I208" s="35">
        <f t="shared" si="349"/>
        <v>5444</v>
      </c>
      <c r="J208" s="70">
        <f t="shared" ref="J208" si="371">E208/C208</f>
        <v>119.21167883211679</v>
      </c>
      <c r="K208" s="1"/>
    </row>
    <row r="209" spans="1:11" s="86" customFormat="1" ht="14.25" customHeight="1" x14ac:dyDescent="0.15">
      <c r="A209" s="118" t="s">
        <v>579</v>
      </c>
      <c r="B209" s="98" t="s">
        <v>2083</v>
      </c>
      <c r="C209" s="143">
        <v>105</v>
      </c>
      <c r="D209" s="143">
        <v>1</v>
      </c>
      <c r="E209" s="143">
        <v>1683</v>
      </c>
      <c r="F209" s="62">
        <f t="shared" ref="F209" si="372">E209/$E$187</f>
        <v>3.8164321099132445E-3</v>
      </c>
      <c r="G209" s="143"/>
      <c r="H209" s="27">
        <f t="shared" ref="H209" si="373">IF(OR(E209=G209,AND(E209="",G209=0),AND(E209=0,G209="")),0%,IF(OR(G209="",G209=0),100%,(E209-G209)/ABS(G209)))</f>
        <v>1</v>
      </c>
      <c r="I209" s="35">
        <f t="shared" ref="I209" si="374">IF(OR(D209=0,D209=""),0,E209/D209)</f>
        <v>1683</v>
      </c>
      <c r="J209" s="70">
        <f t="shared" ref="J209" si="375">E209/C209</f>
        <v>16.028571428571428</v>
      </c>
      <c r="K209" s="1"/>
    </row>
    <row r="210" spans="1:11" s="11" customFormat="1" ht="14.25" customHeight="1" x14ac:dyDescent="0.15">
      <c r="A210" s="118" t="s">
        <v>309</v>
      </c>
      <c r="B210" s="98" t="s">
        <v>2084</v>
      </c>
      <c r="C210" s="143">
        <v>108.56</v>
      </c>
      <c r="D210" s="143">
        <v>7</v>
      </c>
      <c r="E210" s="143">
        <v>6131</v>
      </c>
      <c r="F210" s="62">
        <f t="shared" ref="F210" si="376">E210/$E$187</f>
        <v>1.3902878945857457E-2</v>
      </c>
      <c r="G210" s="143">
        <v>4984</v>
      </c>
      <c r="H210" s="27">
        <f t="shared" ref="H210" si="377">IF(OR(E210=G210,AND(E210="",G210=0),AND(E210=0,G210="")),0%,IF(OR(G210="",G210=0),100%,(E210-G210)/ABS(G210)))</f>
        <v>0.23013643659711075</v>
      </c>
      <c r="I210" s="35">
        <f t="shared" ref="I210" si="378">IF(OR(D210=0,D210=""),0,E210/D210)</f>
        <v>875.85714285714289</v>
      </c>
      <c r="J210" s="70">
        <f t="shared" ref="J210" si="379">E210/C210</f>
        <v>56.475681650700075</v>
      </c>
      <c r="K210" s="1"/>
    </row>
    <row r="211" spans="1:11" s="11" customFormat="1" ht="14.25" customHeight="1" x14ac:dyDescent="0.15">
      <c r="A211" s="118" t="s">
        <v>352</v>
      </c>
      <c r="B211" s="98" t="s">
        <v>2085</v>
      </c>
      <c r="C211" s="143">
        <v>72.55</v>
      </c>
      <c r="D211" s="143">
        <v>1</v>
      </c>
      <c r="E211" s="143">
        <v>1889</v>
      </c>
      <c r="F211" s="62">
        <f t="shared" ref="F211" si="380">E211/$E$187</f>
        <v>4.2835652142757686E-3</v>
      </c>
      <c r="G211" s="143">
        <v>5548</v>
      </c>
      <c r="H211" s="27">
        <f t="shared" ref="H211" si="381">IF(OR(E211=G211,AND(E211="",G211=0),AND(E211=0,G211="")),0%,IF(OR(G211="",G211=0),100%,(E211-G211)/ABS(G211)))</f>
        <v>-0.65951694304253783</v>
      </c>
      <c r="I211" s="35">
        <f t="shared" ref="I211" si="382">IF(OR(D211=0,D211=""),0,E211/D211)</f>
        <v>1889</v>
      </c>
      <c r="J211" s="70">
        <f t="shared" ref="J211" si="383">E211/C211</f>
        <v>26.037215713301173</v>
      </c>
      <c r="K211" s="1"/>
    </row>
    <row r="212" spans="1:11" s="11" customFormat="1" ht="14.25" customHeight="1" x14ac:dyDescent="0.15">
      <c r="A212" s="118" t="s">
        <v>563</v>
      </c>
      <c r="B212" s="98" t="s">
        <v>2419</v>
      </c>
      <c r="C212" s="143">
        <v>78</v>
      </c>
      <c r="D212" s="143"/>
      <c r="E212" s="143"/>
      <c r="F212" s="62">
        <f t="shared" ref="F212" si="384">E212/$E$187</f>
        <v>0</v>
      </c>
      <c r="G212" s="143"/>
      <c r="H212" s="27">
        <f t="shared" ref="H212" si="385">IF(OR(E212=G212,AND(E212="",G212=0),AND(E212=0,G212="")),0%,IF(OR(G212="",G212=0),100%,(E212-G212)/ABS(G212)))</f>
        <v>0</v>
      </c>
      <c r="I212" s="35">
        <f t="shared" ref="I212" si="386">IF(OR(D212=0,D212=""),0,E212/D212)</f>
        <v>0</v>
      </c>
      <c r="J212" s="70">
        <f t="shared" ref="J212" si="387">E212/C212</f>
        <v>0</v>
      </c>
      <c r="K212" s="1"/>
    </row>
    <row r="213" spans="1:11" s="11" customFormat="1" ht="14.25" customHeight="1" x14ac:dyDescent="0.15">
      <c r="A213" s="118" t="s">
        <v>1877</v>
      </c>
      <c r="B213" s="98" t="s">
        <v>2347</v>
      </c>
      <c r="C213" s="143">
        <v>78</v>
      </c>
      <c r="D213" s="143">
        <v>3</v>
      </c>
      <c r="E213" s="143">
        <v>6361</v>
      </c>
      <c r="F213" s="62">
        <f t="shared" ref="F213" si="388">E213/$E$187</f>
        <v>1.4424435324514645E-2</v>
      </c>
      <c r="G213" s="143">
        <v>8073</v>
      </c>
      <c r="H213" s="27">
        <f t="shared" ref="H213" si="389">IF(OR(E213=G213,AND(E213="",G213=0),AND(E213=0,G213="")),0%,IF(OR(G213="",G213=0),100%,(E213-G213)/ABS(G213)))</f>
        <v>-0.21206490771708164</v>
      </c>
      <c r="I213" s="35">
        <f t="shared" ref="I213" si="390">IF(OR(D213=0,D213=""),0,E213/D213)</f>
        <v>2120.3333333333335</v>
      </c>
      <c r="J213" s="70">
        <f t="shared" ref="J213" si="391">E213/C213</f>
        <v>81.551282051282058</v>
      </c>
      <c r="K213" s="1"/>
    </row>
    <row r="214" spans="1:11" s="11" customFormat="1" ht="14.25" customHeight="1" x14ac:dyDescent="0.15">
      <c r="A214" s="118" t="s">
        <v>569</v>
      </c>
      <c r="B214" s="98" t="s">
        <v>2086</v>
      </c>
      <c r="C214" s="143">
        <v>81</v>
      </c>
      <c r="D214" s="143">
        <v>12</v>
      </c>
      <c r="E214" s="143">
        <v>5856</v>
      </c>
      <c r="F214" s="62">
        <f t="shared" ref="F214:F215" si="392">E214/$E$187</f>
        <v>1.3279278927897778E-2</v>
      </c>
      <c r="G214" s="143">
        <v>5183</v>
      </c>
      <c r="H214" s="27">
        <f t="shared" ref="H214:H215" si="393">IF(OR(E214=G214,AND(E214="",G214=0),AND(E214=0,G214="")),0%,IF(OR(G214="",G214=0),100%,(E214-G214)/ABS(G214)))</f>
        <v>0.12984757862241944</v>
      </c>
      <c r="I214" s="35">
        <f t="shared" ref="I214:I215" si="394">IF(OR(D214=0,D214=""),0,E214/D214)</f>
        <v>488</v>
      </c>
      <c r="J214" s="70">
        <f t="shared" ref="J214:J215" si="395">E214/C214</f>
        <v>72.296296296296291</v>
      </c>
      <c r="K214" s="1"/>
    </row>
    <row r="215" spans="1:11" s="11" customFormat="1" ht="14.25" customHeight="1" x14ac:dyDescent="0.15">
      <c r="A215" s="118" t="s">
        <v>1886</v>
      </c>
      <c r="B215" s="98" t="s">
        <v>2087</v>
      </c>
      <c r="C215" s="143">
        <v>343</v>
      </c>
      <c r="D215" s="143">
        <v>20</v>
      </c>
      <c r="E215" s="143">
        <v>24098.2</v>
      </c>
      <c r="F215" s="62">
        <f t="shared" si="392"/>
        <v>5.4645956191985354E-2</v>
      </c>
      <c r="G215" s="143">
        <v>27005.599999999999</v>
      </c>
      <c r="H215" s="27">
        <f t="shared" si="393"/>
        <v>-0.10765915217584493</v>
      </c>
      <c r="I215" s="35">
        <f t="shared" si="394"/>
        <v>1204.9100000000001</v>
      </c>
      <c r="J215" s="70">
        <f t="shared" si="395"/>
        <v>70.257142857142853</v>
      </c>
      <c r="K215" s="1"/>
    </row>
    <row r="216" spans="1:11" s="11" customFormat="1" ht="14.25" customHeight="1" x14ac:dyDescent="0.15">
      <c r="A216" s="118" t="s">
        <v>828</v>
      </c>
      <c r="B216" s="98" t="s">
        <v>2088</v>
      </c>
      <c r="C216" s="143">
        <v>343</v>
      </c>
      <c r="D216" s="143">
        <v>18</v>
      </c>
      <c r="E216" s="143">
        <v>12338</v>
      </c>
      <c r="F216" s="62">
        <f t="shared" ref="F216" si="396">E216/$E$187</f>
        <v>2.7978098260314683E-2</v>
      </c>
      <c r="G216" s="143">
        <v>14501</v>
      </c>
      <c r="H216" s="27">
        <f t="shared" ref="H216" si="397">IF(OR(E216=G216,AND(E216="",G216=0),AND(E216=0,G216="")),0%,IF(OR(G216="",G216=0),100%,(E216-G216)/ABS(G216)))</f>
        <v>-0.14916212674987933</v>
      </c>
      <c r="I216" s="35">
        <f t="shared" ref="I216" si="398">IF(OR(D216=0,D216=""),0,E216/D216)</f>
        <v>685.44444444444446</v>
      </c>
      <c r="J216" s="70">
        <f t="shared" ref="J216" si="399">E216/C216</f>
        <v>35.970845481049565</v>
      </c>
      <c r="K216" s="1"/>
    </row>
    <row r="217" spans="1:11" s="11" customFormat="1" ht="14.25" customHeight="1" x14ac:dyDescent="0.15">
      <c r="A217" s="118" t="s">
        <v>556</v>
      </c>
      <c r="B217" s="98" t="s">
        <v>2089</v>
      </c>
      <c r="C217" s="143">
        <v>118.72</v>
      </c>
      <c r="D217" s="143">
        <v>1</v>
      </c>
      <c r="E217" s="143">
        <v>1180</v>
      </c>
      <c r="F217" s="62">
        <f t="shared" ref="F217" si="400">E217/$E$187</f>
        <v>2.6758109861542653E-3</v>
      </c>
      <c r="G217" s="143">
        <v>10920</v>
      </c>
      <c r="H217" s="27">
        <f t="shared" ref="H217" si="401">IF(OR(E217=G217,AND(E217="",G217=0),AND(E217=0,G217="")),0%,IF(OR(G217="",G217=0),100%,(E217-G217)/ABS(G217)))</f>
        <v>-0.89194139194139199</v>
      </c>
      <c r="I217" s="35">
        <f t="shared" ref="I217" si="402">IF(OR(D217=0,D217=""),0,E217/D217)</f>
        <v>1180</v>
      </c>
      <c r="J217" s="70">
        <f t="shared" ref="J217" si="403">E217/C217</f>
        <v>9.9393530997304591</v>
      </c>
      <c r="K217" s="1"/>
    </row>
    <row r="218" spans="1:11" s="11" customFormat="1" ht="14.25" customHeight="1" x14ac:dyDescent="0.15">
      <c r="A218" s="176" t="s">
        <v>1063</v>
      </c>
      <c r="B218" s="177" t="s">
        <v>2090</v>
      </c>
      <c r="C218" s="178">
        <v>51.3</v>
      </c>
      <c r="D218" s="178">
        <v>8</v>
      </c>
      <c r="E218" s="178">
        <v>8486</v>
      </c>
      <c r="F218" s="196">
        <f t="shared" ref="F218" si="404">E218/$E$187</f>
        <v>1.9243162736021266E-2</v>
      </c>
      <c r="G218" s="178">
        <v>13737</v>
      </c>
      <c r="H218" s="179">
        <f t="shared" ref="H218" si="405">IF(OR(E218=G218,AND(E218="",G218=0),AND(E218=0,G218="")),0%,IF(OR(G218="",G218=0),100%,(E218-G218)/ABS(G218)))</f>
        <v>-0.38225231127611559</v>
      </c>
      <c r="I218" s="180">
        <f t="shared" ref="I218" si="406">IF(OR(D218=0,D218=""),0,E218/D218)</f>
        <v>1060.75</v>
      </c>
      <c r="J218" s="181">
        <f t="shared" ref="J218" si="407">E218/C218</f>
        <v>165.41910331384017</v>
      </c>
      <c r="K218" s="1"/>
    </row>
    <row r="219" spans="1:11" s="11" customFormat="1" ht="14.25" customHeight="1" x14ac:dyDescent="0.15">
      <c r="A219" s="176" t="s">
        <v>1070</v>
      </c>
      <c r="B219" s="177" t="s">
        <v>2091</v>
      </c>
      <c r="C219" s="178">
        <v>118.83</v>
      </c>
      <c r="D219" s="178">
        <v>15</v>
      </c>
      <c r="E219" s="178">
        <v>31471</v>
      </c>
      <c r="F219" s="196">
        <f t="shared" ref="F219" si="408">E219/$E$187</f>
        <v>7.1364786055305829E-2</v>
      </c>
      <c r="G219" s="178">
        <v>5790</v>
      </c>
      <c r="H219" s="179">
        <f t="shared" ref="H219" si="409">IF(OR(E219=G219,AND(E219="",G219=0),AND(E219=0,G219="")),0%,IF(OR(G219="",G219=0),100%,(E219-G219)/ABS(G219)))</f>
        <v>4.4354058721934368</v>
      </c>
      <c r="I219" s="180">
        <f t="shared" ref="I219" si="410">IF(OR(D219=0,D219=""),0,E219/D219)</f>
        <v>2098.0666666666666</v>
      </c>
      <c r="J219" s="181">
        <f t="shared" ref="J219" si="411">E219/C219</f>
        <v>264.84052848607257</v>
      </c>
      <c r="K219" s="1"/>
    </row>
    <row r="220" spans="1:11" s="11" customFormat="1" ht="14.25" customHeight="1" x14ac:dyDescent="0.15">
      <c r="A220" s="176" t="s">
        <v>790</v>
      </c>
      <c r="B220" s="177" t="s">
        <v>2092</v>
      </c>
      <c r="C220" s="178">
        <v>178.06</v>
      </c>
      <c r="D220" s="178">
        <v>2</v>
      </c>
      <c r="E220" s="178">
        <v>4598</v>
      </c>
      <c r="F220" s="196">
        <f t="shared" ref="F220" si="412">E220/$E$187</f>
        <v>1.0426592300285857E-2</v>
      </c>
      <c r="G220" s="178">
        <v>7897</v>
      </c>
      <c r="H220" s="179">
        <f t="shared" ref="H220" si="413">IF(OR(E220=G220,AND(E220="",G220=0),AND(E220=0,G220="")),0%,IF(OR(G220="",G220=0),100%,(E220-G220)/ABS(G220)))</f>
        <v>-0.41775357730783841</v>
      </c>
      <c r="I220" s="180">
        <f t="shared" ref="I220" si="414">IF(OR(D220=0,D220=""),0,E220/D220)</f>
        <v>2299</v>
      </c>
      <c r="J220" s="181">
        <f t="shared" ref="J220" si="415">E220/C220</f>
        <v>25.822756374255867</v>
      </c>
      <c r="K220" s="1"/>
    </row>
    <row r="221" spans="1:11" s="11" customFormat="1" ht="14.25" customHeight="1" x14ac:dyDescent="0.15">
      <c r="A221" s="176" t="s">
        <v>325</v>
      </c>
      <c r="B221" s="177" t="s">
        <v>2093</v>
      </c>
      <c r="C221" s="178">
        <v>115.41</v>
      </c>
      <c r="D221" s="178">
        <v>3</v>
      </c>
      <c r="E221" s="178">
        <v>3602</v>
      </c>
      <c r="F221" s="196">
        <f>E221/$E$187</f>
        <v>8.1680264170573419E-3</v>
      </c>
      <c r="G221" s="178">
        <v>2644</v>
      </c>
      <c r="H221" s="179">
        <f t="shared" ref="H221:H240" si="416">IF(OR(E221=G221,AND(E221="",G221=0),AND(E221=0,G221="")),0%,IF(OR(G221="",G221=0),100%,(E221-G221)/ABS(G221)))</f>
        <v>0.36232980332829046</v>
      </c>
      <c r="I221" s="180">
        <f t="shared" ref="I221:I240" si="417">IF(OR(D221=0,D221=""),0,E221/D221)</f>
        <v>1200.6666666666667</v>
      </c>
      <c r="J221" s="181">
        <f t="shared" ref="J221:J240" si="418">E221/C221</f>
        <v>31.210467030586607</v>
      </c>
      <c r="K221" s="1"/>
    </row>
    <row r="222" spans="1:11" s="11" customFormat="1" ht="14.25" customHeight="1" x14ac:dyDescent="0.15">
      <c r="A222" s="176" t="s">
        <v>1753</v>
      </c>
      <c r="B222" s="177" t="s">
        <v>2094</v>
      </c>
      <c r="C222" s="178">
        <v>112.69</v>
      </c>
      <c r="D222" s="178">
        <v>2</v>
      </c>
      <c r="E222" s="178">
        <v>3409</v>
      </c>
      <c r="F222" s="196">
        <f t="shared" ref="F222" si="419">E222/$E$187</f>
        <v>7.7303725862710934E-3</v>
      </c>
      <c r="G222" s="178">
        <v>7133</v>
      </c>
      <c r="H222" s="179">
        <f t="shared" ref="H222" si="420">IF(OR(E222=G222,AND(E222="",G222=0),AND(E222=0,G222="")),0%,IF(OR(G222="",G222=0),100%,(E222-G222)/ABS(G222)))</f>
        <v>-0.52208047105004907</v>
      </c>
      <c r="I222" s="180">
        <f t="shared" ref="I222" si="421">IF(OR(D222=0,D222=""),0,E222/D222)</f>
        <v>1704.5</v>
      </c>
      <c r="J222" s="181">
        <f t="shared" ref="J222" si="422">E222/C222</f>
        <v>30.251131422486466</v>
      </c>
      <c r="K222" s="1"/>
    </row>
    <row r="223" spans="1:11" s="11" customFormat="1" ht="14.25" customHeight="1" x14ac:dyDescent="0.15">
      <c r="A223" s="176" t="s">
        <v>326</v>
      </c>
      <c r="B223" s="177" t="s">
        <v>2095</v>
      </c>
      <c r="C223" s="178">
        <v>59.89</v>
      </c>
      <c r="D223" s="178">
        <v>3</v>
      </c>
      <c r="E223" s="178">
        <v>1349</v>
      </c>
      <c r="F223" s="196">
        <f>E223/$E$187</f>
        <v>3.0590415426458508E-3</v>
      </c>
      <c r="G223" s="178">
        <v>1615</v>
      </c>
      <c r="H223" s="179">
        <f t="shared" si="416"/>
        <v>-0.16470588235294117</v>
      </c>
      <c r="I223" s="180">
        <f t="shared" si="417"/>
        <v>449.66666666666669</v>
      </c>
      <c r="J223" s="181">
        <f t="shared" si="418"/>
        <v>22.524628485556853</v>
      </c>
      <c r="K223" s="1"/>
    </row>
    <row r="224" spans="1:11" s="11" customFormat="1" ht="14.25" customHeight="1" x14ac:dyDescent="0.15">
      <c r="A224" s="176" t="s">
        <v>327</v>
      </c>
      <c r="B224" s="177" t="s">
        <v>2096</v>
      </c>
      <c r="C224" s="178">
        <v>174</v>
      </c>
      <c r="D224" s="178">
        <v>2</v>
      </c>
      <c r="E224" s="178">
        <v>3188</v>
      </c>
      <c r="F224" s="196">
        <f>E224/$E$187</f>
        <v>7.2292249354744048E-3</v>
      </c>
      <c r="G224" s="178">
        <v>3080</v>
      </c>
      <c r="H224" s="179">
        <f t="shared" si="416"/>
        <v>3.5064935064935063E-2</v>
      </c>
      <c r="I224" s="180">
        <f t="shared" si="417"/>
        <v>1594</v>
      </c>
      <c r="J224" s="181">
        <f t="shared" si="418"/>
        <v>18.321839080459771</v>
      </c>
      <c r="K224" s="1"/>
    </row>
    <row r="225" spans="1:11" s="11" customFormat="1" ht="14.25" customHeight="1" x14ac:dyDescent="0.15">
      <c r="A225" s="176" t="s">
        <v>328</v>
      </c>
      <c r="B225" s="177" t="s">
        <v>2097</v>
      </c>
      <c r="C225" s="178">
        <v>63.12</v>
      </c>
      <c r="D225" s="178">
        <v>4</v>
      </c>
      <c r="E225" s="178">
        <v>3705</v>
      </c>
      <c r="F225" s="196">
        <f>E225/$E$187</f>
        <v>8.4015929692386037E-3</v>
      </c>
      <c r="G225" s="178">
        <v>4766</v>
      </c>
      <c r="H225" s="179">
        <f t="shared" si="416"/>
        <v>-0.22261854804867814</v>
      </c>
      <c r="I225" s="180">
        <f t="shared" si="417"/>
        <v>926.25</v>
      </c>
      <c r="J225" s="181">
        <f t="shared" si="418"/>
        <v>58.697718631178709</v>
      </c>
      <c r="K225" s="1"/>
    </row>
    <row r="226" spans="1:11" s="11" customFormat="1" ht="14.25" customHeight="1" x14ac:dyDescent="0.15">
      <c r="A226" s="176" t="s">
        <v>580</v>
      </c>
      <c r="B226" s="177" t="s">
        <v>2098</v>
      </c>
      <c r="C226" s="178">
        <v>152.74</v>
      </c>
      <c r="D226" s="178">
        <v>4</v>
      </c>
      <c r="E226" s="178">
        <v>6988</v>
      </c>
      <c r="F226" s="196">
        <f t="shared" ref="F226" si="423">E226/$E$187</f>
        <v>1.5846243365462715E-2</v>
      </c>
      <c r="G226" s="178"/>
      <c r="H226" s="179">
        <f t="shared" ref="H226" si="424">IF(OR(E226=G226,AND(E226="",G226=0),AND(E226=0,G226="")),0%,IF(OR(G226="",G226=0),100%,(E226-G226)/ABS(G226)))</f>
        <v>1</v>
      </c>
      <c r="I226" s="180">
        <f t="shared" ref="I226" si="425">IF(OR(D226=0,D226=""),0,E226/D226)</f>
        <v>1747</v>
      </c>
      <c r="J226" s="181">
        <f t="shared" ref="J226" si="426">E226/C226</f>
        <v>45.750949325651433</v>
      </c>
      <c r="K226" s="1"/>
    </row>
    <row r="227" spans="1:11" s="11" customFormat="1" ht="14.25" customHeight="1" x14ac:dyDescent="0.15">
      <c r="A227" s="176" t="s">
        <v>1775</v>
      </c>
      <c r="B227" s="177" t="s">
        <v>2099</v>
      </c>
      <c r="C227" s="178">
        <v>65.260000000000005</v>
      </c>
      <c r="D227" s="178">
        <v>1</v>
      </c>
      <c r="E227" s="178">
        <v>1135</v>
      </c>
      <c r="F227" s="196">
        <f t="shared" ref="F227:F228" si="427">E227/$E$187</f>
        <v>2.5737673468517719E-3</v>
      </c>
      <c r="G227" s="178">
        <v>6943</v>
      </c>
      <c r="H227" s="179">
        <f t="shared" ref="H227:H228" si="428">IF(OR(E227=G227,AND(E227="",G227=0),AND(E227=0,G227="")),0%,IF(OR(G227="",G227=0),100%,(E227-G227)/ABS(G227)))</f>
        <v>-0.8365259974074607</v>
      </c>
      <c r="I227" s="180">
        <f t="shared" ref="I227:I228" si="429">IF(OR(D227=0,D227=""),0,E227/D227)</f>
        <v>1135</v>
      </c>
      <c r="J227" s="181">
        <f t="shared" ref="J227:J228" si="430">E227/C227</f>
        <v>17.391970579221574</v>
      </c>
      <c r="K227" s="1"/>
    </row>
    <row r="228" spans="1:11" s="11" customFormat="1" ht="14.25" customHeight="1" x14ac:dyDescent="0.15">
      <c r="A228" s="176" t="s">
        <v>1881</v>
      </c>
      <c r="B228" s="177" t="s">
        <v>2100</v>
      </c>
      <c r="C228" s="178">
        <v>65.09</v>
      </c>
      <c r="D228" s="178"/>
      <c r="E228" s="178"/>
      <c r="F228" s="196">
        <f t="shared" si="427"/>
        <v>0</v>
      </c>
      <c r="G228" s="178">
        <v>6948</v>
      </c>
      <c r="H228" s="179">
        <f t="shared" si="428"/>
        <v>-1</v>
      </c>
      <c r="I228" s="180">
        <f t="shared" si="429"/>
        <v>0</v>
      </c>
      <c r="J228" s="181">
        <f t="shared" si="430"/>
        <v>0</v>
      </c>
      <c r="K228" s="1"/>
    </row>
    <row r="229" spans="1:11" s="11" customFormat="1" ht="14.25" customHeight="1" x14ac:dyDescent="0.15">
      <c r="A229" s="176" t="s">
        <v>1754</v>
      </c>
      <c r="B229" s="177" t="s">
        <v>2101</v>
      </c>
      <c r="C229" s="178">
        <v>120.85</v>
      </c>
      <c r="D229" s="178">
        <v>2</v>
      </c>
      <c r="E229" s="178">
        <v>3378</v>
      </c>
      <c r="F229" s="196">
        <f t="shared" ref="F229" si="431">E229/$E$187</f>
        <v>7.6600758569738206E-3</v>
      </c>
      <c r="G229" s="178">
        <v>7144</v>
      </c>
      <c r="H229" s="179">
        <f t="shared" ref="H229" si="432">IF(OR(E229=G229,AND(E229="",G229=0),AND(E229=0,G229="")),0%,IF(OR(G229="",G229=0),100%,(E229-G229)/ABS(G229)))</f>
        <v>-0.52715565509518481</v>
      </c>
      <c r="I229" s="180">
        <f t="shared" ref="I229" si="433">IF(OR(D229=0,D229=""),0,E229/D229)</f>
        <v>1689</v>
      </c>
      <c r="J229" s="181">
        <f t="shared" ref="J229" si="434">E229/C229</f>
        <v>27.952006619776583</v>
      </c>
      <c r="K229" s="1"/>
    </row>
    <row r="230" spans="1:11" s="11" customFormat="1" ht="14.25" customHeight="1" x14ac:dyDescent="0.15">
      <c r="A230" s="176" t="s">
        <v>349</v>
      </c>
      <c r="B230" s="177" t="s">
        <v>2102</v>
      </c>
      <c r="C230" s="178">
        <v>83.45</v>
      </c>
      <c r="D230" s="178">
        <v>4</v>
      </c>
      <c r="E230" s="178">
        <v>5241</v>
      </c>
      <c r="F230" s="196">
        <f t="shared" ref="F230" si="435">E230/$E$187</f>
        <v>1.1884682524097037E-2</v>
      </c>
      <c r="G230" s="178">
        <v>3580</v>
      </c>
      <c r="H230" s="179">
        <f t="shared" si="416"/>
        <v>0.4639664804469274</v>
      </c>
      <c r="I230" s="180">
        <f t="shared" si="417"/>
        <v>1310.25</v>
      </c>
      <c r="J230" s="181">
        <f t="shared" si="418"/>
        <v>62.804074295985615</v>
      </c>
      <c r="K230" s="1"/>
    </row>
    <row r="231" spans="1:11" s="11" customFormat="1" ht="14.25" customHeight="1" x14ac:dyDescent="0.15">
      <c r="A231" s="176" t="s">
        <v>1712</v>
      </c>
      <c r="B231" s="177" t="s">
        <v>2103</v>
      </c>
      <c r="C231" s="178">
        <v>59.05</v>
      </c>
      <c r="D231" s="178">
        <v>1</v>
      </c>
      <c r="E231" s="178">
        <v>1020</v>
      </c>
      <c r="F231" s="196">
        <f t="shared" ref="F231" si="436">E231/$E$187</f>
        <v>2.3129891575231782E-3</v>
      </c>
      <c r="G231" s="178">
        <v>29609</v>
      </c>
      <c r="H231" s="179">
        <f t="shared" ref="H231" si="437">IF(OR(E231=G231,AND(E231="",G231=0),AND(E231=0,G231="")),0%,IF(OR(G231="",G231=0),100%,(E231-G231)/ABS(G231)))</f>
        <v>-0.96555101489411999</v>
      </c>
      <c r="I231" s="180">
        <f t="shared" ref="I231" si="438">IF(OR(D231=0,D231=""),0,E231/D231)</f>
        <v>1020</v>
      </c>
      <c r="J231" s="181">
        <f t="shared" ref="J231" si="439">E231/C231</f>
        <v>17.273497036409822</v>
      </c>
      <c r="K231" s="1"/>
    </row>
    <row r="232" spans="1:11" s="11" customFormat="1" ht="14.25" customHeight="1" x14ac:dyDescent="0.15">
      <c r="A232" s="176" t="s">
        <v>371</v>
      </c>
      <c r="B232" s="177" t="s">
        <v>2104</v>
      </c>
      <c r="C232" s="178">
        <v>88.92</v>
      </c>
      <c r="D232" s="178">
        <v>3</v>
      </c>
      <c r="E232" s="178">
        <v>8010</v>
      </c>
      <c r="F232" s="196">
        <f t="shared" ref="F232" si="440">E232/$E$187</f>
        <v>1.8163767795843784E-2</v>
      </c>
      <c r="G232" s="178">
        <v>9712</v>
      </c>
      <c r="H232" s="179">
        <f t="shared" ref="H232" si="441">IF(OR(E232=G232,AND(E232="",G232=0),AND(E232=0,G232="")),0%,IF(OR(G232="",G232=0),100%,(E232-G232)/ABS(G232)))</f>
        <v>-0.17524711696869852</v>
      </c>
      <c r="I232" s="180">
        <f t="shared" ref="I232" si="442">IF(OR(D232=0,D232=""),0,E232/D232)</f>
        <v>2670</v>
      </c>
      <c r="J232" s="181">
        <f t="shared" ref="J232" si="443">E232/C232</f>
        <v>90.08097165991903</v>
      </c>
      <c r="K232" s="1"/>
    </row>
    <row r="233" spans="1:11" s="11" customFormat="1" ht="14.25" customHeight="1" x14ac:dyDescent="0.15">
      <c r="A233" s="176" t="s">
        <v>375</v>
      </c>
      <c r="B233" s="177" t="s">
        <v>2105</v>
      </c>
      <c r="C233" s="178">
        <v>201.74</v>
      </c>
      <c r="D233" s="178"/>
      <c r="E233" s="178"/>
      <c r="F233" s="196">
        <f t="shared" ref="F233" si="444">E233/$E$187</f>
        <v>0</v>
      </c>
      <c r="G233" s="178">
        <v>9651</v>
      </c>
      <c r="H233" s="179">
        <f t="shared" ref="H233" si="445">IF(OR(E233=G233,AND(E233="",G233=0),AND(E233=0,G233="")),0%,IF(OR(G233="",G233=0),100%,(E233-G233)/ABS(G233)))</f>
        <v>-1</v>
      </c>
      <c r="I233" s="180">
        <f t="shared" ref="I233" si="446">IF(OR(D233=0,D233=""),0,E233/D233)</f>
        <v>0</v>
      </c>
      <c r="J233" s="181">
        <f t="shared" ref="J233" si="447">E233/C233</f>
        <v>0</v>
      </c>
      <c r="K233" s="1"/>
    </row>
    <row r="234" spans="1:11" s="11" customFormat="1" ht="14.25" customHeight="1" x14ac:dyDescent="0.15">
      <c r="A234" s="176" t="s">
        <v>634</v>
      </c>
      <c r="B234" s="177" t="s">
        <v>2106</v>
      </c>
      <c r="C234" s="178">
        <v>218</v>
      </c>
      <c r="D234" s="178">
        <v>23</v>
      </c>
      <c r="E234" s="178">
        <v>35556</v>
      </c>
      <c r="F234" s="196">
        <f t="shared" ref="F234" si="448">E234/$E$187</f>
        <v>8.0628080867543264E-2</v>
      </c>
      <c r="G234" s="178">
        <v>5340</v>
      </c>
      <c r="H234" s="179">
        <f t="shared" ref="H234" si="449">IF(OR(E234=G234,AND(E234="",G234=0),AND(E234=0,G234="")),0%,IF(OR(G234="",G234=0),100%,(E234-G234)/ABS(G234)))</f>
        <v>5.6584269662921347</v>
      </c>
      <c r="I234" s="180">
        <f t="shared" ref="I234" si="450">IF(OR(D234=0,D234=""),0,E234/D234)</f>
        <v>1545.9130434782608</v>
      </c>
      <c r="J234" s="181">
        <f t="shared" ref="J234" si="451">E234/C234</f>
        <v>163.10091743119267</v>
      </c>
      <c r="K234" s="1"/>
    </row>
    <row r="235" spans="1:11" s="11" customFormat="1" ht="14.25" customHeight="1" x14ac:dyDescent="0.15">
      <c r="A235" s="176" t="s">
        <v>642</v>
      </c>
      <c r="B235" s="177" t="s">
        <v>2107</v>
      </c>
      <c r="C235" s="178">
        <v>95</v>
      </c>
      <c r="D235" s="178">
        <v>1</v>
      </c>
      <c r="E235" s="178">
        <v>933</v>
      </c>
      <c r="F235" s="196">
        <f t="shared" ref="F235" si="452">E235/$E$187</f>
        <v>2.1157047882050251E-3</v>
      </c>
      <c r="G235" s="178">
        <v>7706</v>
      </c>
      <c r="H235" s="179">
        <f t="shared" ref="H235" si="453">IF(OR(E235=G235,AND(E235="",G235=0),AND(E235=0,G235="")),0%,IF(OR(G235="",G235=0),100%,(E235-G235)/ABS(G235)))</f>
        <v>-0.8789255125875941</v>
      </c>
      <c r="I235" s="180">
        <f t="shared" ref="I235" si="454">IF(OR(D235=0,D235=""),0,E235/D235)</f>
        <v>933</v>
      </c>
      <c r="J235" s="181">
        <f t="shared" ref="J235" si="455">E235/C235</f>
        <v>9.8210526315789473</v>
      </c>
      <c r="K235" s="1"/>
    </row>
    <row r="236" spans="1:11" s="11" customFormat="1" ht="14.25" customHeight="1" x14ac:dyDescent="0.15">
      <c r="A236" s="176" t="s">
        <v>595</v>
      </c>
      <c r="B236" s="177" t="s">
        <v>2108</v>
      </c>
      <c r="C236" s="178">
        <v>72</v>
      </c>
      <c r="D236" s="178">
        <v>6</v>
      </c>
      <c r="E236" s="178">
        <v>6041</v>
      </c>
      <c r="F236" s="196">
        <f t="shared" ref="F236" si="456">E236/$E$187</f>
        <v>1.3698791667252472E-2</v>
      </c>
      <c r="G236" s="178">
        <v>3955</v>
      </c>
      <c r="H236" s="179">
        <f t="shared" ref="H236" si="457">IF(OR(E236=G236,AND(E236="",G236=0),AND(E236=0,G236="")),0%,IF(OR(G236="",G236=0),100%,(E236-G236)/ABS(G236)))</f>
        <v>0.52743362831858409</v>
      </c>
      <c r="I236" s="180">
        <f t="shared" ref="I236" si="458">IF(OR(D236=0,D236=""),0,E236/D236)</f>
        <v>1006.8333333333334</v>
      </c>
      <c r="J236" s="181">
        <f t="shared" ref="J236" si="459">E236/C236</f>
        <v>83.902777777777771</v>
      </c>
      <c r="K236" s="1"/>
    </row>
    <row r="237" spans="1:11" s="11" customFormat="1" ht="14.25" customHeight="1" x14ac:dyDescent="0.15">
      <c r="A237" s="176" t="s">
        <v>622</v>
      </c>
      <c r="B237" s="177" t="s">
        <v>2109</v>
      </c>
      <c r="C237" s="178">
        <v>88</v>
      </c>
      <c r="D237" s="178">
        <v>7</v>
      </c>
      <c r="E237" s="178">
        <v>2932</v>
      </c>
      <c r="F237" s="196">
        <f t="shared" ref="F237" si="460">E237/$E$187</f>
        <v>6.6487100096646662E-3</v>
      </c>
      <c r="G237" s="178">
        <v>4096</v>
      </c>
      <c r="H237" s="179">
        <f t="shared" ref="H237" si="461">IF(OR(E237=G237,AND(E237="",G237=0),AND(E237=0,G237="")),0%,IF(OR(G237="",G237=0),100%,(E237-G237)/ABS(G237)))</f>
        <v>-0.2841796875</v>
      </c>
      <c r="I237" s="180">
        <f t="shared" ref="I237" si="462">IF(OR(D237=0,D237=""),0,E237/D237)</f>
        <v>418.85714285714283</v>
      </c>
      <c r="J237" s="181">
        <f t="shared" ref="J237" si="463">E237/C237</f>
        <v>33.31818181818182</v>
      </c>
      <c r="K237" s="1"/>
    </row>
    <row r="238" spans="1:11" s="11" customFormat="1" ht="14.25" customHeight="1" x14ac:dyDescent="0.15">
      <c r="A238" s="176" t="s">
        <v>799</v>
      </c>
      <c r="B238" s="177" t="s">
        <v>2110</v>
      </c>
      <c r="C238" s="178">
        <v>25.4</v>
      </c>
      <c r="D238" s="178">
        <v>4</v>
      </c>
      <c r="E238" s="178">
        <v>1112</v>
      </c>
      <c r="F238" s="196">
        <f t="shared" ref="F238" si="464">E238/$E$187</f>
        <v>2.5216117089860535E-3</v>
      </c>
      <c r="G238" s="178">
        <v>200</v>
      </c>
      <c r="H238" s="179">
        <f t="shared" ref="H238" si="465">IF(OR(E238=G238,AND(E238="",G238=0),AND(E238=0,G238="")),0%,IF(OR(G238="",G238=0),100%,(E238-G238)/ABS(G238)))</f>
        <v>4.5599999999999996</v>
      </c>
      <c r="I238" s="180">
        <f t="shared" ref="I238" si="466">IF(OR(D238=0,D238=""),0,E238/D238)</f>
        <v>278</v>
      </c>
      <c r="J238" s="181">
        <f t="shared" ref="J238" si="467">E238/C238</f>
        <v>43.779527559055119</v>
      </c>
      <c r="K238" s="1"/>
    </row>
    <row r="239" spans="1:11" s="11" customFormat="1" ht="14.25" customHeight="1" x14ac:dyDescent="0.15">
      <c r="A239" s="176" t="s">
        <v>330</v>
      </c>
      <c r="B239" s="177" t="s">
        <v>2111</v>
      </c>
      <c r="C239" s="178">
        <v>13</v>
      </c>
      <c r="D239" s="178">
        <v>5</v>
      </c>
      <c r="E239" s="178">
        <v>1204</v>
      </c>
      <c r="F239" s="196">
        <f>E239/$E$187</f>
        <v>2.7302342604489283E-3</v>
      </c>
      <c r="G239" s="178">
        <v>789</v>
      </c>
      <c r="H239" s="179">
        <f t="shared" si="416"/>
        <v>0.52598225602027882</v>
      </c>
      <c r="I239" s="180">
        <f t="shared" si="417"/>
        <v>240.8</v>
      </c>
      <c r="J239" s="181">
        <f t="shared" si="418"/>
        <v>92.615384615384613</v>
      </c>
      <c r="K239" s="1"/>
    </row>
    <row r="240" spans="1:11" s="11" customFormat="1" ht="14.25" customHeight="1" x14ac:dyDescent="0.15">
      <c r="A240" s="176" t="s">
        <v>331</v>
      </c>
      <c r="B240" s="177" t="s">
        <v>2112</v>
      </c>
      <c r="C240" s="178">
        <v>66</v>
      </c>
      <c r="D240" s="178">
        <v>17</v>
      </c>
      <c r="E240" s="178">
        <v>8491</v>
      </c>
      <c r="F240" s="196">
        <f>E240/$E$187</f>
        <v>1.9254500918165988E-2</v>
      </c>
      <c r="G240" s="178">
        <v>9130</v>
      </c>
      <c r="H240" s="179">
        <f t="shared" si="416"/>
        <v>-6.9989047097480828E-2</v>
      </c>
      <c r="I240" s="180">
        <f t="shared" si="417"/>
        <v>499.47058823529414</v>
      </c>
      <c r="J240" s="181">
        <f t="shared" si="418"/>
        <v>128.65151515151516</v>
      </c>
      <c r="K240" s="1"/>
    </row>
    <row r="241" spans="1:11" s="11" customFormat="1" ht="14.25" customHeight="1" x14ac:dyDescent="0.15">
      <c r="A241" s="176" t="s">
        <v>512</v>
      </c>
      <c r="B241" s="177" t="s">
        <v>2113</v>
      </c>
      <c r="C241" s="178">
        <v>10</v>
      </c>
      <c r="D241" s="178"/>
      <c r="E241" s="178"/>
      <c r="F241" s="196">
        <f t="shared" ref="F241" si="468">E241/$E$187</f>
        <v>0</v>
      </c>
      <c r="G241" s="178">
        <v>359</v>
      </c>
      <c r="H241" s="179">
        <f t="shared" ref="H241" si="469">IF(OR(E241=G241,AND(E241="",G241=0),AND(E241=0,G241="")),0%,IF(OR(G241="",G241=0),100%,(E241-G241)/ABS(G241)))</f>
        <v>-1</v>
      </c>
      <c r="I241" s="180">
        <f t="shared" ref="I241" si="470">IF(OR(D241=0,D241=""),0,E241/D241)</f>
        <v>0</v>
      </c>
      <c r="J241" s="181">
        <f t="shared" ref="J241" si="471">E241/C241</f>
        <v>0</v>
      </c>
      <c r="K241" s="1"/>
    </row>
    <row r="242" spans="1:11" s="11" customFormat="1" ht="14.25" customHeight="1" x14ac:dyDescent="0.15">
      <c r="A242" s="176" t="s">
        <v>567</v>
      </c>
      <c r="B242" s="177" t="s">
        <v>2114</v>
      </c>
      <c r="C242" s="178">
        <v>65</v>
      </c>
      <c r="D242" s="178">
        <v>6</v>
      </c>
      <c r="E242" s="178">
        <v>3055</v>
      </c>
      <c r="F242" s="196">
        <f t="shared" ref="F242" si="472">E242/$E$187</f>
        <v>6.9276292904248138E-3</v>
      </c>
      <c r="G242" s="178">
        <v>2792</v>
      </c>
      <c r="H242" s="179">
        <f t="shared" ref="H242" si="473">IF(OR(E242=G242,AND(E242="",G242=0),AND(E242=0,G242="")),0%,IF(OR(G242="",G242=0),100%,(E242-G242)/ABS(G242)))</f>
        <v>9.4197707736389691E-2</v>
      </c>
      <c r="I242" s="180">
        <f t="shared" ref="I242" si="474">IF(OR(D242=0,D242=""),0,E242/D242)</f>
        <v>509.16666666666669</v>
      </c>
      <c r="J242" s="181">
        <f t="shared" ref="J242" si="475">E242/C242</f>
        <v>47</v>
      </c>
      <c r="K242" s="1"/>
    </row>
    <row r="243" spans="1:11" s="11" customFormat="1" ht="14.25" customHeight="1" x14ac:dyDescent="0.15">
      <c r="A243" s="176" t="s">
        <v>688</v>
      </c>
      <c r="B243" s="177" t="s">
        <v>2115</v>
      </c>
      <c r="C243" s="178">
        <v>46</v>
      </c>
      <c r="D243" s="178">
        <v>6</v>
      </c>
      <c r="E243" s="178">
        <v>4206</v>
      </c>
      <c r="F243" s="196">
        <f t="shared" ref="F243" si="476">E243/$E$187</f>
        <v>9.5376788201396948E-3</v>
      </c>
      <c r="G243" s="178">
        <v>2447</v>
      </c>
      <c r="H243" s="179">
        <f t="shared" ref="H243" si="477">IF(OR(E243=G243,AND(E243="",G243=0),AND(E243=0,G243="")),0%,IF(OR(G243="",G243=0),100%,(E243-G243)/ABS(G243)))</f>
        <v>0.71883939517776874</v>
      </c>
      <c r="I243" s="180">
        <f t="shared" ref="I243" si="478">IF(OR(D243=0,D243=""),0,E243/D243)</f>
        <v>701</v>
      </c>
      <c r="J243" s="181">
        <f t="shared" ref="J243" si="479">E243/C243</f>
        <v>91.434782608695656</v>
      </c>
      <c r="K243" s="1"/>
    </row>
    <row r="244" spans="1:11" s="11" customFormat="1" ht="14.25" customHeight="1" x14ac:dyDescent="0.15">
      <c r="A244" s="176" t="s">
        <v>687</v>
      </c>
      <c r="B244" s="177" t="s">
        <v>2116</v>
      </c>
      <c r="C244" s="178">
        <v>40</v>
      </c>
      <c r="D244" s="178">
        <v>7</v>
      </c>
      <c r="E244" s="178">
        <v>5236</v>
      </c>
      <c r="F244" s="196">
        <f t="shared" ref="F244:F247" si="480">E244/$E$187</f>
        <v>1.1873344341952316E-2</v>
      </c>
      <c r="G244" s="178">
        <v>1944</v>
      </c>
      <c r="H244" s="179">
        <f t="shared" ref="H244:H247" si="481">IF(OR(E244=G244,AND(E244="",G244=0),AND(E244=0,G244="")),0%,IF(OR(G244="",G244=0),100%,(E244-G244)/ABS(G244)))</f>
        <v>1.6934156378600822</v>
      </c>
      <c r="I244" s="180">
        <f t="shared" ref="I244:I245" si="482">IF(OR(D244=0,D244=""),0,E244/D244)</f>
        <v>748</v>
      </c>
      <c r="J244" s="181">
        <f t="shared" ref="J244:J247" si="483">E244/C244</f>
        <v>130.9</v>
      </c>
      <c r="K244" s="1"/>
    </row>
    <row r="245" spans="1:11" s="11" customFormat="1" ht="14.25" customHeight="1" x14ac:dyDescent="0.15">
      <c r="A245" s="176" t="s">
        <v>632</v>
      </c>
      <c r="B245" s="177" t="s">
        <v>2117</v>
      </c>
      <c r="C245" s="178">
        <v>56</v>
      </c>
      <c r="D245" s="178">
        <v>15</v>
      </c>
      <c r="E245" s="178">
        <v>6490</v>
      </c>
      <c r="F245" s="196">
        <f t="shared" si="480"/>
        <v>1.4716960423848459E-2</v>
      </c>
      <c r="G245" s="178">
        <v>8184</v>
      </c>
      <c r="H245" s="179">
        <f t="shared" si="481"/>
        <v>-0.20698924731182797</v>
      </c>
      <c r="I245" s="180">
        <f t="shared" si="482"/>
        <v>432.66666666666669</v>
      </c>
      <c r="J245" s="181">
        <f t="shared" si="483"/>
        <v>115.89285714285714</v>
      </c>
      <c r="K245" s="1"/>
    </row>
    <row r="246" spans="1:11" s="11" customFormat="1" ht="14.25" customHeight="1" x14ac:dyDescent="0.15">
      <c r="A246" s="176" t="s">
        <v>1009</v>
      </c>
      <c r="B246" s="177" t="s">
        <v>2084</v>
      </c>
      <c r="C246" s="178">
        <v>36</v>
      </c>
      <c r="D246" s="178">
        <v>6</v>
      </c>
      <c r="E246" s="178">
        <v>3996</v>
      </c>
      <c r="F246" s="196">
        <f>E246/$E$187</f>
        <v>9.0614751700613932E-3</v>
      </c>
      <c r="G246" s="178">
        <v>1596</v>
      </c>
      <c r="H246" s="179">
        <f t="shared" ref="H246" si="484">IF(OR(E246=G246,AND(E246="",G246=0),AND(E246=0,G246="")),0%,IF(OR(G246="",G246=0),100%,(E246-G246)/ABS(G246)))</f>
        <v>1.5037593984962405</v>
      </c>
      <c r="I246" s="180">
        <f t="shared" ref="I246:I247" si="485">IF(OR(D246=0,D246=""),0,E246/D246)</f>
        <v>666</v>
      </c>
      <c r="J246" s="181">
        <f t="shared" ref="J246" si="486">E246/C246</f>
        <v>111</v>
      </c>
      <c r="K246" s="1"/>
    </row>
    <row r="247" spans="1:11" s="11" customFormat="1" ht="14.25" customHeight="1" x14ac:dyDescent="0.15">
      <c r="A247" s="176" t="s">
        <v>1633</v>
      </c>
      <c r="B247" s="177" t="s">
        <v>2118</v>
      </c>
      <c r="C247" s="178">
        <v>280.75</v>
      </c>
      <c r="D247" s="178">
        <v>1</v>
      </c>
      <c r="E247" s="178">
        <v>15000</v>
      </c>
      <c r="F247" s="196">
        <f t="shared" si="480"/>
        <v>3.4014546434164392E-2</v>
      </c>
      <c r="G247" s="178">
        <v>15000</v>
      </c>
      <c r="H247" s="179">
        <f t="shared" si="481"/>
        <v>0</v>
      </c>
      <c r="I247" s="180">
        <f t="shared" si="485"/>
        <v>15000</v>
      </c>
      <c r="J247" s="181">
        <f t="shared" si="483"/>
        <v>53.428317008014247</v>
      </c>
      <c r="K247" s="1"/>
    </row>
    <row r="248" spans="1:11" s="11" customFormat="1" ht="14.25" customHeight="1" x14ac:dyDescent="0.15">
      <c r="A248" s="124" t="s">
        <v>1004</v>
      </c>
      <c r="B248" s="97" t="s">
        <v>2119</v>
      </c>
      <c r="C248" s="164">
        <v>400</v>
      </c>
      <c r="D248" s="164">
        <v>68</v>
      </c>
      <c r="E248" s="164">
        <v>17894</v>
      </c>
      <c r="F248" s="114">
        <f t="shared" ref="F248" si="487">E248/$E$187</f>
        <v>4.0577086259529174E-2</v>
      </c>
      <c r="G248" s="164">
        <v>14907.5</v>
      </c>
      <c r="H248" s="29">
        <f t="shared" ref="H248" si="488">IF(OR(E248=G248,AND(E248="",G248=0),AND(E248=0,G248="")),0%,IF(OR(G248="",G248=0),100%,(E248-G248)/ABS(G248)))</f>
        <v>0.20033540164346805</v>
      </c>
      <c r="I248" s="36">
        <f t="shared" ref="I248" si="489">IF(OR(D248=0,D248=""),0,E248/D248)</f>
        <v>263.14705882352939</v>
      </c>
      <c r="J248" s="71">
        <f t="shared" ref="J248" si="490">E248/C248</f>
        <v>44.734999999999999</v>
      </c>
      <c r="K248" s="1"/>
    </row>
    <row r="249" spans="1:11" s="11" customFormat="1" ht="14.25" customHeight="1" x14ac:dyDescent="0.15">
      <c r="A249"/>
      <c r="B249"/>
      <c r="C249" s="137"/>
      <c r="D249" s="156"/>
      <c r="E249"/>
      <c r="F249"/>
      <c r="G249"/>
      <c r="H249" s="3"/>
      <c r="I249"/>
      <c r="J249"/>
    </row>
    <row r="250" spans="1:11" s="11" customFormat="1" ht="14.25" customHeight="1" x14ac:dyDescent="0.15">
      <c r="A250" s="322" t="s">
        <v>686</v>
      </c>
      <c r="B250" s="323"/>
      <c r="C250" s="323"/>
      <c r="D250" s="323"/>
      <c r="E250" s="323"/>
      <c r="F250" s="323"/>
      <c r="G250" s="323"/>
      <c r="H250" s="323"/>
      <c r="I250" s="323"/>
      <c r="J250" s="324"/>
    </row>
    <row r="251" spans="1:11" s="11" customFormat="1" ht="14.25" customHeight="1" x14ac:dyDescent="0.15">
      <c r="A251" s="48" t="s">
        <v>684</v>
      </c>
      <c r="B251" s="49" t="s">
        <v>685</v>
      </c>
      <c r="C251" s="145" t="s">
        <v>70</v>
      </c>
      <c r="D251" s="162" t="s">
        <v>71</v>
      </c>
      <c r="E251" s="50" t="s">
        <v>72</v>
      </c>
      <c r="F251" s="49" t="s">
        <v>73</v>
      </c>
      <c r="G251" s="49" t="s">
        <v>74</v>
      </c>
      <c r="H251" s="51" t="s">
        <v>75</v>
      </c>
      <c r="I251" s="51" t="s">
        <v>76</v>
      </c>
      <c r="J251" s="52" t="s">
        <v>77</v>
      </c>
    </row>
    <row r="252" spans="1:11" s="11" customFormat="1" ht="14.25" customHeight="1" x14ac:dyDescent="0.15">
      <c r="A252" s="47" t="s">
        <v>78</v>
      </c>
      <c r="B252" s="45"/>
      <c r="C252" s="146">
        <f>SUM(C253:C318)</f>
        <v>6370.0870000000004</v>
      </c>
      <c r="D252" s="146">
        <f>SUM(D253:D318)</f>
        <v>690</v>
      </c>
      <c r="E252" s="46">
        <f>SUM(E253:E318)</f>
        <v>354016.2</v>
      </c>
      <c r="F252" s="105">
        <f>SUM(F253:F318)</f>
        <v>1</v>
      </c>
      <c r="G252" s="46">
        <f>SUM(G253:G318)</f>
        <v>389970.60000000003</v>
      </c>
      <c r="H252" s="44">
        <f t="shared" ref="H252:H284" si="491">IF(OR(E252=G252,AND(E252="",G252=0),AND(E252=0,G252="")),0%,IF(OR(G252="",G252=0),100%,(E252-G252)/ABS(G252)))</f>
        <v>-9.2197719520394669E-2</v>
      </c>
      <c r="I252" s="79">
        <f t="shared" ref="I252" si="492">IF(OR(D252=0,D252=""),0,E252/D252)</f>
        <v>513.06695652173914</v>
      </c>
      <c r="J252" s="72">
        <f>E252/C252</f>
        <v>55.574782573613199</v>
      </c>
    </row>
    <row r="253" spans="1:11" s="11" customFormat="1" ht="14.25" customHeight="1" x14ac:dyDescent="0.15">
      <c r="A253" s="123" t="s">
        <v>367</v>
      </c>
      <c r="B253" s="98" t="s">
        <v>2120</v>
      </c>
      <c r="C253" s="143">
        <v>120</v>
      </c>
      <c r="D253" s="143">
        <v>9</v>
      </c>
      <c r="E253" s="143">
        <v>5782</v>
      </c>
      <c r="F253" s="62">
        <f>E253/$E$252</f>
        <v>1.6332585909910338E-2</v>
      </c>
      <c r="G253" s="143">
        <v>6100</v>
      </c>
      <c r="H253" s="27">
        <f t="shared" si="491"/>
        <v>-5.2131147540983608E-2</v>
      </c>
      <c r="I253" s="35">
        <f t="shared" ref="I253:I285" si="493">IF(OR(D253=0,D253=""),0,E253/D253)</f>
        <v>642.44444444444446</v>
      </c>
      <c r="J253" s="70">
        <f t="shared" ref="J253:J287" si="494">E253/C253</f>
        <v>48.18333333333333</v>
      </c>
      <c r="K253" s="291"/>
    </row>
    <row r="254" spans="1:11" s="11" customFormat="1" ht="14.25" customHeight="1" x14ac:dyDescent="0.15">
      <c r="A254" s="123" t="s">
        <v>574</v>
      </c>
      <c r="B254" s="98" t="s">
        <v>2121</v>
      </c>
      <c r="C254" s="143">
        <v>181.86</v>
      </c>
      <c r="D254" s="143">
        <v>13</v>
      </c>
      <c r="E254" s="143">
        <v>6572</v>
      </c>
      <c r="F254" s="62">
        <f>E254/$E$252</f>
        <v>1.8564122206836862E-2</v>
      </c>
      <c r="G254" s="143">
        <v>13151</v>
      </c>
      <c r="H254" s="27">
        <f t="shared" ref="H254:H255" si="495">IF(OR(E254=G254,AND(E254="",G254=0),AND(E254=0,G254="")),0%,IF(OR(G254="",G254=0),100%,(E254-G254)/ABS(G254)))</f>
        <v>-0.50026613945707554</v>
      </c>
      <c r="I254" s="35">
        <f t="shared" ref="I254:I255" si="496">IF(OR(D254=0,D254=""),0,E254/D254)</f>
        <v>505.53846153846155</v>
      </c>
      <c r="J254" s="70">
        <f t="shared" ref="J254:J255" si="497">E254/C254</f>
        <v>36.137688331683712</v>
      </c>
      <c r="K254" s="291"/>
    </row>
    <row r="255" spans="1:11" s="11" customFormat="1" ht="14.25" customHeight="1" x14ac:dyDescent="0.15">
      <c r="A255" s="123" t="s">
        <v>907</v>
      </c>
      <c r="B255" s="98" t="s">
        <v>2122</v>
      </c>
      <c r="C255" s="143">
        <v>34.28</v>
      </c>
      <c r="D255" s="143">
        <v>28</v>
      </c>
      <c r="E255" s="143">
        <v>10270</v>
      </c>
      <c r="F255" s="62">
        <f t="shared" ref="F255" si="498">E255/$E$252</f>
        <v>2.9009971860044823E-2</v>
      </c>
      <c r="G255" s="143">
        <v>10077</v>
      </c>
      <c r="H255" s="27">
        <f t="shared" si="495"/>
        <v>1.9152525553240051E-2</v>
      </c>
      <c r="I255" s="35">
        <f t="shared" si="496"/>
        <v>366.78571428571428</v>
      </c>
      <c r="J255" s="70">
        <f t="shared" si="497"/>
        <v>299.5915985997666</v>
      </c>
      <c r="K255" s="291"/>
    </row>
    <row r="256" spans="1:11" s="11" customFormat="1" ht="14.25" customHeight="1" x14ac:dyDescent="0.15">
      <c r="A256" s="123" t="s">
        <v>244</v>
      </c>
      <c r="B256" s="98" t="s">
        <v>2123</v>
      </c>
      <c r="C256" s="143">
        <v>119.87</v>
      </c>
      <c r="D256" s="143">
        <v>14</v>
      </c>
      <c r="E256" s="143">
        <v>19385</v>
      </c>
      <c r="F256" s="62">
        <f t="shared" ref="F256" si="499">E256/$E$252</f>
        <v>5.475738115939327E-2</v>
      </c>
      <c r="G256" s="143">
        <v>13341</v>
      </c>
      <c r="H256" s="27">
        <f t="shared" ref="H256" si="500">IF(OR(E256=G256,AND(E256="",G256=0),AND(E256=0,G256="")),0%,IF(OR(G256="",G256=0),100%,(E256-G256)/ABS(G256)))</f>
        <v>0.45303950228618545</v>
      </c>
      <c r="I256" s="35">
        <f t="shared" ref="I256" si="501">IF(OR(D256=0,D256=""),0,E256/D256)</f>
        <v>1384.6428571428571</v>
      </c>
      <c r="J256" s="70">
        <f t="shared" ref="J256" si="502">E256/C256</f>
        <v>161.71685993159255</v>
      </c>
      <c r="K256" s="291"/>
    </row>
    <row r="257" spans="1:11" s="11" customFormat="1" ht="14.25" customHeight="1" x14ac:dyDescent="0.15">
      <c r="A257" s="123" t="s">
        <v>247</v>
      </c>
      <c r="B257" s="98" t="s">
        <v>2124</v>
      </c>
      <c r="C257" s="143">
        <v>146.71</v>
      </c>
      <c r="D257" s="143">
        <v>9</v>
      </c>
      <c r="E257" s="143">
        <v>13196</v>
      </c>
      <c r="F257" s="62">
        <f t="shared" ref="F257" si="503">E257/$E$252</f>
        <v>3.7275130347142305E-2</v>
      </c>
      <c r="G257" s="143">
        <v>4593</v>
      </c>
      <c r="H257" s="27">
        <f t="shared" ref="H257" si="504">IF(OR(E257=G257,AND(E257="",G257=0),AND(E257=0,G257="")),0%,IF(OR(G257="",G257=0),100%,(E257-G257)/ABS(G257)))</f>
        <v>1.8730677117352492</v>
      </c>
      <c r="I257" s="35">
        <f t="shared" ref="I257" si="505">IF(OR(D257=0,D257=""),0,E257/D257)</f>
        <v>1466.2222222222222</v>
      </c>
      <c r="J257" s="70">
        <f t="shared" ref="J257" si="506">E257/C257</f>
        <v>89.946152273192013</v>
      </c>
      <c r="K257" s="291"/>
    </row>
    <row r="258" spans="1:11" s="11" customFormat="1" ht="14.25" customHeight="1" x14ac:dyDescent="0.15">
      <c r="A258" s="123" t="s">
        <v>630</v>
      </c>
      <c r="B258" s="98" t="s">
        <v>2125</v>
      </c>
      <c r="C258" s="143">
        <v>229.22</v>
      </c>
      <c r="D258" s="143">
        <v>14</v>
      </c>
      <c r="E258" s="143">
        <v>13977</v>
      </c>
      <c r="F258" s="62">
        <f t="shared" ref="F258" si="507">E258/$E$252</f>
        <v>3.9481244078660806E-2</v>
      </c>
      <c r="G258" s="143">
        <v>16200</v>
      </c>
      <c r="H258" s="27">
        <f t="shared" ref="H258:H261" si="508">IF(OR(E258=G258,AND(E258="",G258=0),AND(E258=0,G258="")),0%,IF(OR(G258="",G258=0),100%,(E258-G258)/ABS(G258)))</f>
        <v>-0.13722222222222222</v>
      </c>
      <c r="I258" s="35">
        <f t="shared" ref="I258:I261" si="509">IF(OR(D258=0,D258=""),0,E258/D258)</f>
        <v>998.35714285714289</v>
      </c>
      <c r="J258" s="70">
        <f t="shared" ref="J258:J261" si="510">E258/C258</f>
        <v>60.976354593839979</v>
      </c>
      <c r="K258" s="291"/>
    </row>
    <row r="259" spans="1:11" s="11" customFormat="1" ht="14.25" customHeight="1" x14ac:dyDescent="0.15">
      <c r="A259" s="123" t="s">
        <v>1784</v>
      </c>
      <c r="B259" s="98" t="s">
        <v>2126</v>
      </c>
      <c r="C259" s="143">
        <v>265</v>
      </c>
      <c r="D259" s="143">
        <v>18</v>
      </c>
      <c r="E259" s="143">
        <v>18912</v>
      </c>
      <c r="F259" s="62">
        <f t="shared" ref="F259" si="511">E259/$E$252</f>
        <v>5.3421284110727135E-2</v>
      </c>
      <c r="G259" s="143">
        <v>7071</v>
      </c>
      <c r="H259" s="27">
        <f t="shared" ref="H259" si="512">IF(OR(E259=G259,AND(E259="",G259=0),AND(E259=0,G259="")),0%,IF(OR(G259="",G259=0),100%,(E259-G259)/ABS(G259)))</f>
        <v>1.6745863385659736</v>
      </c>
      <c r="I259" s="35">
        <f t="shared" ref="I259" si="513">IF(OR(D259=0,D259=""),0,E259/D259)</f>
        <v>1050.6666666666667</v>
      </c>
      <c r="J259" s="70">
        <f t="shared" ref="J259" si="514">E259/C259</f>
        <v>71.366037735849062</v>
      </c>
      <c r="K259" s="291"/>
    </row>
    <row r="260" spans="1:11" s="11" customFormat="1" ht="14.25" customHeight="1" x14ac:dyDescent="0.15">
      <c r="A260" s="123" t="s">
        <v>1807</v>
      </c>
      <c r="B260" s="98" t="s">
        <v>2127</v>
      </c>
      <c r="C260" s="143">
        <v>265</v>
      </c>
      <c r="D260" s="143">
        <v>15</v>
      </c>
      <c r="E260" s="143">
        <v>19056</v>
      </c>
      <c r="F260" s="62">
        <f t="shared" ref="F260" si="515">E260/$E$252</f>
        <v>5.3828045157255512E-2</v>
      </c>
      <c r="G260" s="143">
        <v>12454.2</v>
      </c>
      <c r="H260" s="27">
        <f t="shared" ref="H260" si="516">IF(OR(E260=G260,AND(E260="",G260=0),AND(E260=0,G260="")),0%,IF(OR(G260="",G260=0),100%,(E260-G260)/ABS(G260)))</f>
        <v>0.53008623596858884</v>
      </c>
      <c r="I260" s="35">
        <f t="shared" ref="I260" si="517">IF(OR(D260=0,D260=""),0,E260/D260)</f>
        <v>1270.4000000000001</v>
      </c>
      <c r="J260" s="70">
        <f t="shared" ref="J260" si="518">E260/C260</f>
        <v>71.909433962264146</v>
      </c>
      <c r="K260" s="291"/>
    </row>
    <row r="261" spans="1:11" s="11" customFormat="1" ht="14.25" customHeight="1" x14ac:dyDescent="0.15">
      <c r="A261" s="123" t="s">
        <v>868</v>
      </c>
      <c r="B261" s="98" t="s">
        <v>2128</v>
      </c>
      <c r="C261" s="143">
        <v>126.62</v>
      </c>
      <c r="D261" s="143">
        <v>4</v>
      </c>
      <c r="E261" s="143">
        <v>5211</v>
      </c>
      <c r="F261" s="62">
        <f>E261/$E$252</f>
        <v>1.4719665371245721E-2</v>
      </c>
      <c r="G261" s="143">
        <v>6607</v>
      </c>
      <c r="H261" s="27">
        <f t="shared" si="508"/>
        <v>-0.21129105494172848</v>
      </c>
      <c r="I261" s="35">
        <f t="shared" si="509"/>
        <v>1302.75</v>
      </c>
      <c r="J261" s="70">
        <f t="shared" si="510"/>
        <v>41.15463591849629</v>
      </c>
      <c r="K261" s="291"/>
    </row>
    <row r="262" spans="1:11" ht="14.25" customHeight="1" x14ac:dyDescent="0.15">
      <c r="A262" s="118" t="s">
        <v>125</v>
      </c>
      <c r="B262" s="98" t="s">
        <v>2129</v>
      </c>
      <c r="C262" s="143">
        <v>46.2</v>
      </c>
      <c r="D262" s="143">
        <v>3</v>
      </c>
      <c r="E262" s="143">
        <v>4148</v>
      </c>
      <c r="F262" s="62">
        <f>E262/$E$252</f>
        <v>1.1716977923609146E-2</v>
      </c>
      <c r="G262" s="143">
        <v>2587</v>
      </c>
      <c r="H262" s="27">
        <f t="shared" si="491"/>
        <v>0.60340162350212601</v>
      </c>
      <c r="I262" s="35">
        <f t="shared" si="493"/>
        <v>1382.6666666666667</v>
      </c>
      <c r="J262" s="70">
        <f t="shared" si="494"/>
        <v>89.783549783549773</v>
      </c>
      <c r="K262" s="291"/>
    </row>
    <row r="263" spans="1:11" s="86" customFormat="1" ht="14.25" customHeight="1" x14ac:dyDescent="0.15">
      <c r="A263" s="118" t="s">
        <v>849</v>
      </c>
      <c r="B263" s="98" t="s">
        <v>2420</v>
      </c>
      <c r="C263" s="143">
        <v>77.099999999999994</v>
      </c>
      <c r="D263" s="143">
        <v>1</v>
      </c>
      <c r="E263" s="143">
        <v>648</v>
      </c>
      <c r="F263" s="62">
        <f>E263/$E$252</f>
        <v>1.8304247093777063E-3</v>
      </c>
      <c r="G263" s="143">
        <v>6648</v>
      </c>
      <c r="H263" s="27">
        <f t="shared" ref="H263" si="519">IF(OR(E263=G263,AND(E263="",G263=0),AND(E263=0,G263="")),0%,IF(OR(G263="",G263=0),100%,(E263-G263)/ABS(G263)))</f>
        <v>-0.90252707581227432</v>
      </c>
      <c r="I263" s="35">
        <f t="shared" ref="I263" si="520">IF(OR(D263=0,D263=""),0,E263/D263)</f>
        <v>648</v>
      </c>
      <c r="J263" s="70">
        <f t="shared" ref="J263" si="521">E263/C263</f>
        <v>8.4046692607003894</v>
      </c>
      <c r="K263" s="291"/>
    </row>
    <row r="264" spans="1:11" s="86" customFormat="1" ht="14.25" customHeight="1" x14ac:dyDescent="0.15">
      <c r="A264" s="118" t="s">
        <v>1670</v>
      </c>
      <c r="B264" s="98" t="s">
        <v>2130</v>
      </c>
      <c r="C264" s="143">
        <v>200.8</v>
      </c>
      <c r="D264" s="143">
        <v>6</v>
      </c>
      <c r="E264" s="143">
        <v>6690</v>
      </c>
      <c r="F264" s="62">
        <f>E264/$E$252</f>
        <v>1.889744028663095E-2</v>
      </c>
      <c r="G264" s="143">
        <v>12091</v>
      </c>
      <c r="H264" s="27">
        <f t="shared" ref="H264" si="522">IF(OR(E264=G264,AND(E264="",G264=0),AND(E264=0,G264="")),0%,IF(OR(G264="",G264=0),100%,(E264-G264)/ABS(G264)))</f>
        <v>-0.44669588950459022</v>
      </c>
      <c r="I264" s="35">
        <f t="shared" ref="I264" si="523">IF(OR(D264=0,D264=""),0,E264/D264)</f>
        <v>1115</v>
      </c>
      <c r="J264" s="70">
        <f t="shared" ref="J264" si="524">E264/C264</f>
        <v>33.316733067729082</v>
      </c>
      <c r="K264" s="291"/>
    </row>
    <row r="265" spans="1:11" s="11" customFormat="1" ht="14.25" customHeight="1" x14ac:dyDescent="0.15">
      <c r="A265" s="118" t="s">
        <v>126</v>
      </c>
      <c r="B265" s="98" t="s">
        <v>2131</v>
      </c>
      <c r="C265" s="143">
        <v>286.68</v>
      </c>
      <c r="D265" s="143">
        <v>9</v>
      </c>
      <c r="E265" s="143">
        <v>7729.2</v>
      </c>
      <c r="F265" s="62">
        <f t="shared" ref="F265:F285" si="525">E265/$E$252</f>
        <v>2.1832899172410752E-2</v>
      </c>
      <c r="G265" s="143">
        <v>3248</v>
      </c>
      <c r="H265" s="27">
        <f t="shared" si="491"/>
        <v>1.3796798029556649</v>
      </c>
      <c r="I265" s="35">
        <f t="shared" si="493"/>
        <v>858.8</v>
      </c>
      <c r="J265" s="70">
        <f t="shared" si="494"/>
        <v>26.961071578066136</v>
      </c>
      <c r="K265" s="291"/>
    </row>
    <row r="266" spans="1:11" s="11" customFormat="1" ht="14.25" customHeight="1" x14ac:dyDescent="0.15">
      <c r="A266" s="123" t="s">
        <v>127</v>
      </c>
      <c r="B266" s="98" t="s">
        <v>2132</v>
      </c>
      <c r="C266" s="143">
        <v>190.65</v>
      </c>
      <c r="D266" s="143">
        <v>7</v>
      </c>
      <c r="E266" s="143">
        <v>3536</v>
      </c>
      <c r="F266" s="62">
        <f t="shared" si="525"/>
        <v>9.9882434758635334E-3</v>
      </c>
      <c r="G266" s="143">
        <v>7002</v>
      </c>
      <c r="H266" s="27">
        <f t="shared" si="491"/>
        <v>-0.49500142816338188</v>
      </c>
      <c r="I266" s="35">
        <f t="shared" si="493"/>
        <v>505.14285714285717</v>
      </c>
      <c r="J266" s="70">
        <f t="shared" si="494"/>
        <v>18.547075793338578</v>
      </c>
      <c r="K266" s="291"/>
    </row>
    <row r="267" spans="1:11" s="11" customFormat="1" ht="14.25" customHeight="1" x14ac:dyDescent="0.15">
      <c r="A267" s="123" t="s">
        <v>599</v>
      </c>
      <c r="B267" s="98" t="s">
        <v>2133</v>
      </c>
      <c r="C267" s="143">
        <v>72.760000000000005</v>
      </c>
      <c r="D267" s="143">
        <v>2</v>
      </c>
      <c r="E267" s="143">
        <v>147</v>
      </c>
      <c r="F267" s="62">
        <f t="shared" ref="F267" si="526">E267/$E$252</f>
        <v>4.1523523499772041E-4</v>
      </c>
      <c r="G267" s="143">
        <v>-195</v>
      </c>
      <c r="H267" s="27">
        <f t="shared" ref="H267" si="527">IF(OR(E267=G267,AND(E267="",G267=0),AND(E267=0,G267="")),0%,IF(OR(G267="",G267=0),100%,(E267-G267)/ABS(G267)))</f>
        <v>1.7538461538461538</v>
      </c>
      <c r="I267" s="35">
        <f t="shared" ref="I267" si="528">IF(OR(D267=0,D267=""),0,E267/D267)</f>
        <v>73.5</v>
      </c>
      <c r="J267" s="70">
        <f t="shared" ref="J267" si="529">E267/C267</f>
        <v>2.0203408466190211</v>
      </c>
      <c r="K267" s="291"/>
    </row>
    <row r="268" spans="1:11" s="11" customFormat="1" ht="14.25" customHeight="1" x14ac:dyDescent="0.15">
      <c r="A268" s="118" t="s">
        <v>332</v>
      </c>
      <c r="B268" s="98" t="s">
        <v>2134</v>
      </c>
      <c r="C268" s="143">
        <v>53.78</v>
      </c>
      <c r="D268" s="143">
        <v>3</v>
      </c>
      <c r="E268" s="143">
        <v>2122</v>
      </c>
      <c r="F268" s="62">
        <f t="shared" si="525"/>
        <v>5.9940759773140324E-3</v>
      </c>
      <c r="G268" s="143">
        <v>2193</v>
      </c>
      <c r="H268" s="27">
        <f t="shared" si="491"/>
        <v>-3.2375740994072047E-2</v>
      </c>
      <c r="I268" s="35">
        <f t="shared" si="493"/>
        <v>707.33333333333337</v>
      </c>
      <c r="J268" s="70">
        <f t="shared" si="494"/>
        <v>39.45704722945333</v>
      </c>
      <c r="K268" s="291"/>
    </row>
    <row r="269" spans="1:11" s="11" customFormat="1" ht="14.25" customHeight="1" x14ac:dyDescent="0.15">
      <c r="A269" s="118" t="s">
        <v>590</v>
      </c>
      <c r="B269" s="98" t="s">
        <v>2135</v>
      </c>
      <c r="C269" s="143">
        <v>87.99</v>
      </c>
      <c r="D269" s="143">
        <v>6</v>
      </c>
      <c r="E269" s="143">
        <v>6353</v>
      </c>
      <c r="F269" s="62">
        <f t="shared" ref="F269" si="530">E269/$E$252</f>
        <v>1.7945506448574951E-2</v>
      </c>
      <c r="G269" s="143">
        <v>7095</v>
      </c>
      <c r="H269" s="27">
        <f t="shared" ref="H269" si="531">IF(OR(E269=G269,AND(E269="",G269=0),AND(E269=0,G269="")),0%,IF(OR(G269="",G269=0),100%,(E269-G269)/ABS(G269)))</f>
        <v>-0.10458069062720225</v>
      </c>
      <c r="I269" s="35">
        <f t="shared" ref="I269" si="532">IF(OR(D269=0,D269=""),0,E269/D269)</f>
        <v>1058.8333333333333</v>
      </c>
      <c r="J269" s="70">
        <f t="shared" ref="J269" si="533">E269/C269</f>
        <v>72.201386521195602</v>
      </c>
      <c r="K269" s="291"/>
    </row>
    <row r="270" spans="1:11" s="11" customFormat="1" ht="14.25" customHeight="1" x14ac:dyDescent="0.15">
      <c r="A270" s="118" t="s">
        <v>1164</v>
      </c>
      <c r="B270" s="98" t="s">
        <v>2136</v>
      </c>
      <c r="C270" s="143">
        <v>100</v>
      </c>
      <c r="D270" s="143">
        <v>3</v>
      </c>
      <c r="E270" s="143">
        <v>3541</v>
      </c>
      <c r="F270" s="62">
        <f t="shared" ref="F270" si="534">E270/$E$252</f>
        <v>1.0002367123312437E-2</v>
      </c>
      <c r="G270" s="143">
        <v>3860</v>
      </c>
      <c r="H270" s="27">
        <f t="shared" ref="H270" si="535">IF(OR(E270=G270,AND(E270="",G270=0),AND(E270=0,G270="")),0%,IF(OR(G270="",G270=0),100%,(E270-G270)/ABS(G270)))</f>
        <v>-8.2642487046632129E-2</v>
      </c>
      <c r="I270" s="35">
        <f t="shared" ref="I270" si="536">IF(OR(D270=0,D270=""),0,E270/D270)</f>
        <v>1180.3333333333333</v>
      </c>
      <c r="J270" s="70">
        <f t="shared" ref="J270" si="537">E270/C270</f>
        <v>35.409999999999997</v>
      </c>
      <c r="K270" s="291"/>
    </row>
    <row r="271" spans="1:11" s="11" customFormat="1" ht="14.25" customHeight="1" x14ac:dyDescent="0.15">
      <c r="A271" s="118" t="s">
        <v>1838</v>
      </c>
      <c r="B271" s="98" t="s">
        <v>2421</v>
      </c>
      <c r="C271" s="143">
        <v>86.5</v>
      </c>
      <c r="D271" s="143">
        <v>4</v>
      </c>
      <c r="E271" s="143">
        <v>5060</v>
      </c>
      <c r="F271" s="62">
        <f t="shared" ref="F271" si="538">E271/$E$252</f>
        <v>1.4293131218288881E-2</v>
      </c>
      <c r="G271" s="143">
        <v>2777</v>
      </c>
      <c r="H271" s="27">
        <f t="shared" ref="H271" si="539">IF(OR(E271=G271,AND(E271="",G271=0),AND(E271=0,G271="")),0%,IF(OR(G271="",G271=0),100%,(E271-G271)/ABS(G271)))</f>
        <v>0.82211019085343895</v>
      </c>
      <c r="I271" s="35">
        <f t="shared" ref="I271" si="540">IF(OR(D271=0,D271=""),0,E271/D271)</f>
        <v>1265</v>
      </c>
      <c r="J271" s="70">
        <f t="shared" ref="J271" si="541">E271/C271</f>
        <v>58.497109826589593</v>
      </c>
      <c r="K271" s="291"/>
    </row>
    <row r="272" spans="1:11" s="11" customFormat="1" ht="14.25" customHeight="1" x14ac:dyDescent="0.15">
      <c r="A272" s="118" t="s">
        <v>660</v>
      </c>
      <c r="B272" s="98" t="s">
        <v>2137</v>
      </c>
      <c r="C272" s="143">
        <v>137.53</v>
      </c>
      <c r="D272" s="143">
        <v>3</v>
      </c>
      <c r="E272" s="143">
        <v>1634</v>
      </c>
      <c r="F272" s="62">
        <f t="shared" ref="F272" si="542">E272/$E$252</f>
        <v>4.6156079863011916E-3</v>
      </c>
      <c r="G272" s="143"/>
      <c r="H272" s="27">
        <f t="shared" ref="H272" si="543">IF(OR(E272=G272,AND(E272="",G272=0),AND(E272=0,G272="")),0%,IF(OR(G272="",G272=0),100%,(E272-G272)/ABS(G272)))</f>
        <v>1</v>
      </c>
      <c r="I272" s="35">
        <f t="shared" ref="I272" si="544">IF(OR(D272=0,D272=""),0,E272/D272)</f>
        <v>544.66666666666663</v>
      </c>
      <c r="J272" s="70">
        <f t="shared" ref="J272" si="545">E272/C272</f>
        <v>11.881044135824911</v>
      </c>
      <c r="K272" s="291"/>
    </row>
    <row r="273" spans="1:11" s="11" customFormat="1" ht="14.25" customHeight="1" x14ac:dyDescent="0.15">
      <c r="A273" s="118" t="s">
        <v>525</v>
      </c>
      <c r="B273" s="98" t="s">
        <v>2138</v>
      </c>
      <c r="C273" s="143">
        <v>73.760000000000005</v>
      </c>
      <c r="D273" s="143">
        <v>2</v>
      </c>
      <c r="E273" s="143">
        <v>700</v>
      </c>
      <c r="F273" s="62">
        <f t="shared" ref="F273" si="546">E273/$E$252</f>
        <v>1.9773106428462878E-3</v>
      </c>
      <c r="G273" s="143">
        <v>1274</v>
      </c>
      <c r="H273" s="27">
        <f t="shared" ref="H273" si="547">IF(OR(E273=G273,AND(E273="",G273=0),AND(E273=0,G273="")),0%,IF(OR(G273="",G273=0),100%,(E273-G273)/ABS(G273)))</f>
        <v>-0.45054945054945056</v>
      </c>
      <c r="I273" s="35">
        <f t="shared" ref="I273" si="548">IF(OR(D273=0,D273=""),0,E273/D273)</f>
        <v>350</v>
      </c>
      <c r="J273" s="70">
        <f t="shared" ref="J273" si="549">E273/C273</f>
        <v>9.4902386117136661</v>
      </c>
      <c r="K273" s="291"/>
    </row>
    <row r="274" spans="1:11" s="11" customFormat="1" ht="14.25" customHeight="1" x14ac:dyDescent="0.15">
      <c r="A274" s="118" t="s">
        <v>619</v>
      </c>
      <c r="B274" s="98" t="s">
        <v>2139</v>
      </c>
      <c r="C274" s="143">
        <v>276</v>
      </c>
      <c r="D274" s="143">
        <v>22</v>
      </c>
      <c r="E274" s="143">
        <v>30855</v>
      </c>
      <c r="F274" s="62">
        <f t="shared" ref="F274:F275" si="550">E274/$E$252</f>
        <v>8.7157028407174583E-2</v>
      </c>
      <c r="G274" s="143">
        <v>31074</v>
      </c>
      <c r="H274" s="27">
        <f t="shared" ref="H274:H275" si="551">IF(OR(E274=G274,AND(E274="",G274=0),AND(E274=0,G274="")),0%,IF(OR(G274="",G274=0),100%,(E274-G274)/ABS(G274)))</f>
        <v>-7.0476926047499519E-3</v>
      </c>
      <c r="I274" s="35">
        <f t="shared" ref="I274:I275" si="552">IF(OR(D274=0,D274=""),0,E274/D274)</f>
        <v>1402.5</v>
      </c>
      <c r="J274" s="70">
        <f t="shared" ref="J274:J275" si="553">E274/C274</f>
        <v>111.79347826086956</v>
      </c>
      <c r="K274" s="291"/>
    </row>
    <row r="275" spans="1:11" s="11" customFormat="1" ht="14.25" customHeight="1" x14ac:dyDescent="0.15">
      <c r="A275" s="118" t="s">
        <v>1777</v>
      </c>
      <c r="B275" s="98" t="s">
        <v>2140</v>
      </c>
      <c r="C275" s="143">
        <v>62</v>
      </c>
      <c r="D275" s="143">
        <v>1</v>
      </c>
      <c r="E275" s="143">
        <v>778</v>
      </c>
      <c r="F275" s="62">
        <f t="shared" si="550"/>
        <v>2.1976395430491598E-3</v>
      </c>
      <c r="G275" s="143">
        <v>1119</v>
      </c>
      <c r="H275" s="27">
        <f t="shared" si="551"/>
        <v>-0.30473637176050045</v>
      </c>
      <c r="I275" s="35">
        <f t="shared" si="552"/>
        <v>778</v>
      </c>
      <c r="J275" s="70">
        <f t="shared" si="553"/>
        <v>12.548387096774194</v>
      </c>
      <c r="K275" s="291"/>
    </row>
    <row r="276" spans="1:11" s="11" customFormat="1" ht="14.25" customHeight="1" x14ac:dyDescent="0.15">
      <c r="A276" s="118" t="s">
        <v>884</v>
      </c>
      <c r="B276" s="98" t="s">
        <v>2141</v>
      </c>
      <c r="C276" s="143">
        <v>116.7</v>
      </c>
      <c r="D276" s="143">
        <v>4</v>
      </c>
      <c r="E276" s="143">
        <v>4590</v>
      </c>
      <c r="F276" s="62">
        <f t="shared" ref="F276" si="554">E276/$E$252</f>
        <v>1.2965508358092086E-2</v>
      </c>
      <c r="G276" s="143">
        <v>19141</v>
      </c>
      <c r="H276" s="27">
        <f t="shared" ref="H276" si="555">IF(OR(E276=G276,AND(E276="",G276=0),AND(E276=0,G276="")),0%,IF(OR(G276="",G276=0),100%,(E276-G276)/ABS(G276)))</f>
        <v>-0.76020061647771797</v>
      </c>
      <c r="I276" s="35">
        <f t="shared" ref="I276" si="556">IF(OR(D276=0,D276=""),0,E276/D276)</f>
        <v>1147.5</v>
      </c>
      <c r="J276" s="70">
        <f t="shared" ref="J276" si="557">E276/C276</f>
        <v>39.33161953727506</v>
      </c>
      <c r="K276" s="291"/>
    </row>
    <row r="277" spans="1:11" s="11" customFormat="1" ht="14.25" customHeight="1" x14ac:dyDescent="0.15">
      <c r="A277" s="118" t="s">
        <v>1794</v>
      </c>
      <c r="B277" s="98" t="s">
        <v>2142</v>
      </c>
      <c r="C277" s="143">
        <v>85</v>
      </c>
      <c r="D277" s="143">
        <v>7</v>
      </c>
      <c r="E277" s="143">
        <v>5567</v>
      </c>
      <c r="F277" s="62">
        <f t="shared" ref="F277" si="558">E277/$E$252</f>
        <v>1.5725269069607549E-2</v>
      </c>
      <c r="G277" s="143">
        <v>4825</v>
      </c>
      <c r="H277" s="27">
        <f t="shared" ref="H277" si="559">IF(OR(E277=G277,AND(E277="",G277=0),AND(E277=0,G277="")),0%,IF(OR(G277="",G277=0),100%,(E277-G277)/ABS(G277)))</f>
        <v>0.15378238341968911</v>
      </c>
      <c r="I277" s="35">
        <f t="shared" ref="I277" si="560">IF(OR(D277=0,D277=""),0,E277/D277)</f>
        <v>795.28571428571433</v>
      </c>
      <c r="J277" s="70">
        <f t="shared" ref="J277" si="561">E277/C277</f>
        <v>65.494117647058829</v>
      </c>
      <c r="K277" s="291"/>
    </row>
    <row r="278" spans="1:11" s="11" customFormat="1" ht="14.25" customHeight="1" x14ac:dyDescent="0.15">
      <c r="A278" s="118" t="s">
        <v>1803</v>
      </c>
      <c r="B278" s="98" t="s">
        <v>2127</v>
      </c>
      <c r="C278" s="143">
        <v>239.887</v>
      </c>
      <c r="D278" s="143"/>
      <c r="E278" s="143"/>
      <c r="F278" s="62">
        <f t="shared" ref="F278" si="562">E278/$E$252</f>
        <v>0</v>
      </c>
      <c r="G278" s="143"/>
      <c r="H278" s="27">
        <f t="shared" ref="H278" si="563">IF(OR(E278=G278,AND(E278="",G278=0),AND(E278=0,G278="")),0%,IF(OR(G278="",G278=0),100%,(E278-G278)/ABS(G278)))</f>
        <v>0</v>
      </c>
      <c r="I278" s="35">
        <f t="shared" ref="I278" si="564">IF(OR(D278=0,D278=""),0,E278/D278)</f>
        <v>0</v>
      </c>
      <c r="J278" s="70">
        <f t="shared" ref="J278" si="565">E278/C278</f>
        <v>0</v>
      </c>
      <c r="K278" s="291"/>
    </row>
    <row r="279" spans="1:11" s="11" customFormat="1" ht="14.25" customHeight="1" x14ac:dyDescent="0.15">
      <c r="A279" s="118" t="s">
        <v>787</v>
      </c>
      <c r="B279" s="98" t="s">
        <v>2143</v>
      </c>
      <c r="C279" s="143">
        <v>119.71</v>
      </c>
      <c r="D279" s="143">
        <v>3</v>
      </c>
      <c r="E279" s="143">
        <v>1818</v>
      </c>
      <c r="F279" s="62">
        <f t="shared" ref="F279" si="566">E279/$E$252</f>
        <v>5.1353582124207871E-3</v>
      </c>
      <c r="G279" s="143">
        <v>719</v>
      </c>
      <c r="H279" s="27">
        <f t="shared" ref="H279" si="567">IF(OR(E279=G279,AND(E279="",G279=0),AND(E279=0,G279="")),0%,IF(OR(G279="",G279=0),100%,(E279-G279)/ABS(G279)))</f>
        <v>1.5285118219749652</v>
      </c>
      <c r="I279" s="35">
        <f t="shared" ref="I279" si="568">IF(OR(D279=0,D279=""),0,E279/D279)</f>
        <v>606</v>
      </c>
      <c r="J279" s="70">
        <f t="shared" ref="J279" si="569">E279/C279</f>
        <v>15.186701194553505</v>
      </c>
      <c r="K279" s="291"/>
    </row>
    <row r="280" spans="1:11" s="11" customFormat="1" ht="14.25" customHeight="1" x14ac:dyDescent="0.15">
      <c r="A280" s="118" t="s">
        <v>1799</v>
      </c>
      <c r="B280" s="98" t="s">
        <v>2422</v>
      </c>
      <c r="C280" s="143">
        <v>105</v>
      </c>
      <c r="D280" s="143">
        <v>6</v>
      </c>
      <c r="E280" s="143">
        <v>6115</v>
      </c>
      <c r="F280" s="62">
        <f t="shared" ref="F280" si="570">E280/$E$252</f>
        <v>1.7273220830007215E-2</v>
      </c>
      <c r="G280" s="143">
        <v>9937</v>
      </c>
      <c r="H280" s="27">
        <f t="shared" ref="H280" si="571">IF(OR(E280=G280,AND(E280="",G280=0),AND(E280=0,G280="")),0%,IF(OR(G280="",G280=0),100%,(E280-G280)/ABS(G280)))</f>
        <v>-0.38462312569185869</v>
      </c>
      <c r="I280" s="35">
        <f t="shared" ref="I280" si="572">IF(OR(D280=0,D280=""),0,E280/D280)</f>
        <v>1019.1666666666666</v>
      </c>
      <c r="J280" s="70">
        <f t="shared" ref="J280" si="573">E280/C280</f>
        <v>58.238095238095241</v>
      </c>
      <c r="K280" s="291"/>
    </row>
    <row r="281" spans="1:11" s="11" customFormat="1" ht="14.25" customHeight="1" x14ac:dyDescent="0.15">
      <c r="A281" s="118" t="s">
        <v>1792</v>
      </c>
      <c r="B281" s="98" t="s">
        <v>2144</v>
      </c>
      <c r="C281" s="143">
        <v>100</v>
      </c>
      <c r="D281" s="143">
        <v>8</v>
      </c>
      <c r="E281" s="143">
        <v>5116</v>
      </c>
      <c r="F281" s="62">
        <f t="shared" ref="F281" si="574">E281/$E$252</f>
        <v>1.4451316069716584E-2</v>
      </c>
      <c r="G281" s="143">
        <v>3430</v>
      </c>
      <c r="H281" s="27">
        <f t="shared" ref="H281" si="575">IF(OR(E281=G281,AND(E281="",G281=0),AND(E281=0,G281="")),0%,IF(OR(G281="",G281=0),100%,(E281-G281)/ABS(G281)))</f>
        <v>0.4915451895043732</v>
      </c>
      <c r="I281" s="35">
        <f t="shared" ref="I281" si="576">IF(OR(D281=0,D281=""),0,E281/D281)</f>
        <v>639.5</v>
      </c>
      <c r="J281" s="70">
        <f t="shared" ref="J281" si="577">E281/C281</f>
        <v>51.16</v>
      </c>
      <c r="K281" s="291"/>
    </row>
    <row r="282" spans="1:11" s="11" customFormat="1" ht="14.25" customHeight="1" x14ac:dyDescent="0.15">
      <c r="A282" s="118" t="s">
        <v>1810</v>
      </c>
      <c r="B282" s="98" t="s">
        <v>2145</v>
      </c>
      <c r="C282" s="143">
        <v>36</v>
      </c>
      <c r="D282" s="143">
        <v>7</v>
      </c>
      <c r="E282" s="143">
        <v>1431</v>
      </c>
      <c r="F282" s="62">
        <f t="shared" ref="F282" si="578">E282/$E$252</f>
        <v>4.0421878998757686E-3</v>
      </c>
      <c r="G282" s="143">
        <v>4059</v>
      </c>
      <c r="H282" s="27">
        <f t="shared" ref="H282" si="579">IF(OR(E282=G282,AND(E282="",G282=0),AND(E282=0,G282="")),0%,IF(OR(G282="",G282=0),100%,(E282-G282)/ABS(G282)))</f>
        <v>-0.64745011086474502</v>
      </c>
      <c r="I282" s="35">
        <f t="shared" ref="I282" si="580">IF(OR(D282=0,D282=""),0,E282/D282)</f>
        <v>204.42857142857142</v>
      </c>
      <c r="J282" s="70">
        <f t="shared" ref="J282" si="581">E282/C282</f>
        <v>39.75</v>
      </c>
      <c r="K282" s="291"/>
    </row>
    <row r="283" spans="1:11" s="11" customFormat="1" ht="14.25" customHeight="1" x14ac:dyDescent="0.15">
      <c r="A283" s="118" t="s">
        <v>1842</v>
      </c>
      <c r="B283" s="98" t="s">
        <v>2146</v>
      </c>
      <c r="C283" s="143">
        <v>103</v>
      </c>
      <c r="D283" s="143">
        <v>5</v>
      </c>
      <c r="E283" s="143">
        <v>4719</v>
      </c>
      <c r="F283" s="62">
        <f t="shared" ref="F283" si="582">E283/$E$252</f>
        <v>1.3329898462273761E-2</v>
      </c>
      <c r="G283" s="143">
        <v>13676</v>
      </c>
      <c r="H283" s="27">
        <f t="shared" ref="H283" si="583">IF(OR(E283=G283,AND(E283="",G283=0),AND(E283=0,G283="")),0%,IF(OR(G283="",G283=0),100%,(E283-G283)/ABS(G283)))</f>
        <v>-0.65494296577946765</v>
      </c>
      <c r="I283" s="35">
        <f t="shared" ref="I283" si="584">IF(OR(D283=0,D283=""),0,E283/D283)</f>
        <v>943.8</v>
      </c>
      <c r="J283" s="70">
        <f t="shared" ref="J283" si="585">E283/C283</f>
        <v>45.815533980582522</v>
      </c>
      <c r="K283" s="291"/>
    </row>
    <row r="284" spans="1:11" s="11" customFormat="1" ht="14.25" customHeight="1" x14ac:dyDescent="0.15">
      <c r="A284" s="118" t="s">
        <v>439</v>
      </c>
      <c r="B284" s="98" t="s">
        <v>2423</v>
      </c>
      <c r="C284" s="143">
        <v>67.989999999999995</v>
      </c>
      <c r="D284" s="143">
        <v>2</v>
      </c>
      <c r="E284" s="143">
        <v>1357.3</v>
      </c>
      <c r="F284" s="62">
        <f t="shared" si="525"/>
        <v>3.834005336478952E-3</v>
      </c>
      <c r="G284" s="143">
        <v>3772.1</v>
      </c>
      <c r="H284" s="27">
        <f t="shared" si="491"/>
        <v>-0.6401739084329684</v>
      </c>
      <c r="I284" s="35">
        <f t="shared" si="493"/>
        <v>678.65</v>
      </c>
      <c r="J284" s="70">
        <f t="shared" si="494"/>
        <v>19.963229886748053</v>
      </c>
      <c r="K284" s="291"/>
    </row>
    <row r="285" spans="1:11" s="11" customFormat="1" ht="14.25" customHeight="1" x14ac:dyDescent="0.15">
      <c r="A285" s="118" t="s">
        <v>308</v>
      </c>
      <c r="B285" s="98" t="s">
        <v>2147</v>
      </c>
      <c r="C285" s="143">
        <v>126.69</v>
      </c>
      <c r="D285" s="143">
        <v>4</v>
      </c>
      <c r="E285" s="143">
        <v>1957</v>
      </c>
      <c r="F285" s="62">
        <f t="shared" si="525"/>
        <v>5.5279956115002644E-3</v>
      </c>
      <c r="G285" s="143">
        <v>12383</v>
      </c>
      <c r="H285" s="27">
        <f t="shared" ref="H285" si="586">IF(OR(E285=G285,AND(E285="",G285=0),AND(E285=0,G285="")),0%,IF(OR(G285="",G285=0),100%,(E285-G285)/ABS(G285)))</f>
        <v>-0.8419607526447549</v>
      </c>
      <c r="I285" s="35">
        <f t="shared" si="493"/>
        <v>489.25</v>
      </c>
      <c r="J285" s="70">
        <f t="shared" si="494"/>
        <v>15.447154471544716</v>
      </c>
      <c r="K285" s="291"/>
    </row>
    <row r="286" spans="1:11" s="11" customFormat="1" ht="14.25" customHeight="1" x14ac:dyDescent="0.15">
      <c r="A286" s="118" t="s">
        <v>833</v>
      </c>
      <c r="B286" s="98" t="s">
        <v>2148</v>
      </c>
      <c r="C286" s="143">
        <v>12.47</v>
      </c>
      <c r="D286" s="143">
        <v>2</v>
      </c>
      <c r="E286" s="143">
        <v>260</v>
      </c>
      <c r="F286" s="62">
        <f t="shared" ref="F286" si="587">E286/$E$252</f>
        <v>7.3442966734290683E-4</v>
      </c>
      <c r="G286" s="143"/>
      <c r="H286" s="27">
        <f t="shared" ref="H286" si="588">IF(OR(E286=G286,AND(E286="",G286=0),AND(E286=0,G286="")),0%,IF(OR(G286="",G286=0),100%,(E286-G286)/ABS(G286)))</f>
        <v>1</v>
      </c>
      <c r="I286" s="35">
        <f t="shared" ref="I286" si="589">IF(OR(D286=0,D286=""),0,E286/D286)</f>
        <v>130</v>
      </c>
      <c r="J286" s="70">
        <f t="shared" si="494"/>
        <v>20.850040096230952</v>
      </c>
      <c r="K286" s="291"/>
    </row>
    <row r="287" spans="1:11" s="11" customFormat="1" ht="14.25" customHeight="1" x14ac:dyDescent="0.15">
      <c r="A287" s="118" t="s">
        <v>834</v>
      </c>
      <c r="B287" s="98" t="s">
        <v>2149</v>
      </c>
      <c r="C287" s="143">
        <v>21.93</v>
      </c>
      <c r="D287" s="143">
        <v>13</v>
      </c>
      <c r="E287" s="143">
        <v>360</v>
      </c>
      <c r="F287" s="62">
        <f t="shared" ref="F287" si="590">E287/$E$252</f>
        <v>1.0169026163209479E-3</v>
      </c>
      <c r="G287" s="143">
        <v>370</v>
      </c>
      <c r="H287" s="27">
        <f t="shared" ref="H287" si="591">IF(OR(E287=G287,AND(E287="",G287=0),AND(E287=0,G287="")),0%,IF(OR(G287="",G287=0),100%,(E287-G287)/ABS(G287)))</f>
        <v>-2.7027027027027029E-2</v>
      </c>
      <c r="I287" s="35">
        <f t="shared" ref="I287" si="592">IF(OR(D287=0,D287=""),0,E287/D287)</f>
        <v>27.692307692307693</v>
      </c>
      <c r="J287" s="70">
        <f t="shared" si="494"/>
        <v>16.415868673050614</v>
      </c>
      <c r="K287" s="291"/>
    </row>
    <row r="288" spans="1:11" s="11" customFormat="1" ht="14.25" customHeight="1" x14ac:dyDescent="0.15">
      <c r="A288" s="118" t="s">
        <v>333</v>
      </c>
      <c r="B288" s="98" t="s">
        <v>2150</v>
      </c>
      <c r="C288" s="143">
        <v>119.76</v>
      </c>
      <c r="D288" s="143">
        <v>29</v>
      </c>
      <c r="E288" s="143">
        <v>25682</v>
      </c>
      <c r="F288" s="62">
        <f t="shared" ref="F288:F291" si="593">E288/$E$252</f>
        <v>7.2544702756540513E-2</v>
      </c>
      <c r="G288" s="143">
        <v>26610</v>
      </c>
      <c r="H288" s="27">
        <f t="shared" ref="H288:H303" si="594">IF(OR(E288=G288,AND(E288="",G288=0),AND(E288=0,G288="")),0%,IF(OR(G288="",G288=0),100%,(E288-G288)/ABS(G288)))</f>
        <v>-3.4874107478391585E-2</v>
      </c>
      <c r="I288" s="35">
        <f t="shared" ref="I288:I303" si="595">IF(OR(D288=0,D288=""),0,E288/D288)</f>
        <v>885.58620689655174</v>
      </c>
      <c r="J288" s="70">
        <f t="shared" ref="J288:J303" si="596">E288/C288</f>
        <v>214.44555778223111</v>
      </c>
      <c r="K288" s="291"/>
    </row>
    <row r="289" spans="1:11" s="11" customFormat="1" ht="14.25" customHeight="1" x14ac:dyDescent="0.15">
      <c r="A289" s="118" t="s">
        <v>334</v>
      </c>
      <c r="B289" s="98" t="s">
        <v>2424</v>
      </c>
      <c r="C289" s="143">
        <v>120.12</v>
      </c>
      <c r="D289" s="143">
        <v>4</v>
      </c>
      <c r="E289" s="143">
        <v>4942</v>
      </c>
      <c r="F289" s="62">
        <f t="shared" si="593"/>
        <v>1.3959813138494792E-2</v>
      </c>
      <c r="G289" s="143">
        <v>10693</v>
      </c>
      <c r="H289" s="27">
        <f t="shared" si="594"/>
        <v>-0.53782848592537169</v>
      </c>
      <c r="I289" s="35">
        <f t="shared" si="595"/>
        <v>1235.5</v>
      </c>
      <c r="J289" s="70">
        <f t="shared" si="596"/>
        <v>41.142191142191137</v>
      </c>
      <c r="K289" s="291"/>
    </row>
    <row r="290" spans="1:11" s="11" customFormat="1" ht="14.25" customHeight="1" x14ac:dyDescent="0.15">
      <c r="A290" s="118" t="s">
        <v>1715</v>
      </c>
      <c r="B290" s="98" t="s">
        <v>2151</v>
      </c>
      <c r="C290" s="143">
        <v>70</v>
      </c>
      <c r="D290" s="143">
        <v>16</v>
      </c>
      <c r="E290" s="143">
        <v>3878</v>
      </c>
      <c r="F290" s="62">
        <f t="shared" ref="F290" si="597">E290/$E$252</f>
        <v>1.0954300961368435E-2</v>
      </c>
      <c r="G290" s="143">
        <v>6269</v>
      </c>
      <c r="H290" s="27">
        <f t="shared" ref="H290" si="598">IF(OR(E290=G290,AND(E290="",G290=0),AND(E290=0,G290="")),0%,IF(OR(G290="",G290=0),100%,(E290-G290)/ABS(G290)))</f>
        <v>-0.3814005423512522</v>
      </c>
      <c r="I290" s="35">
        <f t="shared" ref="I290" si="599">IF(OR(D290=0,D290=""),0,E290/D290)</f>
        <v>242.375</v>
      </c>
      <c r="J290" s="70">
        <f t="shared" ref="J290" si="600">E290/C290</f>
        <v>55.4</v>
      </c>
      <c r="K290" s="291"/>
    </row>
    <row r="291" spans="1:11" s="11" customFormat="1" ht="14.25" customHeight="1" x14ac:dyDescent="0.15">
      <c r="A291" s="118" t="s">
        <v>335</v>
      </c>
      <c r="B291" s="98" t="s">
        <v>2152</v>
      </c>
      <c r="C291" s="143">
        <v>242.24</v>
      </c>
      <c r="D291" s="143">
        <v>16</v>
      </c>
      <c r="E291" s="143">
        <v>9571.7000000000007</v>
      </c>
      <c r="F291" s="62">
        <f t="shared" si="593"/>
        <v>2.7037463257331164E-2</v>
      </c>
      <c r="G291" s="143">
        <v>4969.7</v>
      </c>
      <c r="H291" s="27">
        <f t="shared" si="594"/>
        <v>0.92601163048071333</v>
      </c>
      <c r="I291" s="35">
        <f t="shared" si="595"/>
        <v>598.23125000000005</v>
      </c>
      <c r="J291" s="70">
        <f t="shared" si="596"/>
        <v>39.51329260237781</v>
      </c>
      <c r="K291" s="291"/>
    </row>
    <row r="292" spans="1:11" s="11" customFormat="1" ht="14.25" customHeight="1" x14ac:dyDescent="0.15">
      <c r="A292" s="118" t="s">
        <v>772</v>
      </c>
      <c r="B292" s="98" t="s">
        <v>2153</v>
      </c>
      <c r="C292" s="143">
        <v>96.77</v>
      </c>
      <c r="D292" s="143">
        <v>6</v>
      </c>
      <c r="E292" s="143">
        <v>4323</v>
      </c>
      <c r="F292" s="62">
        <f t="shared" ref="F292" si="601">E292/$E$252</f>
        <v>1.2211305584320717E-2</v>
      </c>
      <c r="G292" s="143">
        <v>951</v>
      </c>
      <c r="H292" s="27">
        <f t="shared" ref="H292" si="602">IF(OR(E292=G292,AND(E292="",G292=0),AND(E292=0,G292="")),0%,IF(OR(G292="",G292=0),100%,(E292-G292)/ABS(G292)))</f>
        <v>3.5457413249211358</v>
      </c>
      <c r="I292" s="35">
        <f t="shared" ref="I292" si="603">IF(OR(D292=0,D292=""),0,E292/D292)</f>
        <v>720.5</v>
      </c>
      <c r="J292" s="70">
        <f t="shared" ref="J292" si="604">E292/C292</f>
        <v>44.672935827219185</v>
      </c>
      <c r="K292" s="291"/>
    </row>
    <row r="293" spans="1:11" s="11" customFormat="1" ht="14.25" customHeight="1" x14ac:dyDescent="0.15">
      <c r="A293" s="118" t="s">
        <v>387</v>
      </c>
      <c r="B293" s="98" t="s">
        <v>2425</v>
      </c>
      <c r="C293" s="143">
        <v>320.58999999999997</v>
      </c>
      <c r="D293" s="143">
        <v>201</v>
      </c>
      <c r="E293" s="143">
        <v>30985</v>
      </c>
      <c r="F293" s="62">
        <f t="shared" ref="F293:F296" si="605">E293/$E$252</f>
        <v>8.7524243240846039E-2</v>
      </c>
      <c r="G293" s="143">
        <v>28388</v>
      </c>
      <c r="H293" s="27">
        <f t="shared" ref="H293:H296" si="606">IF(OR(E293=G293,AND(E293="",G293=0),AND(E293=0,G293="")),0%,IF(OR(G293="",G293=0),100%,(E293-G293)/ABS(G293)))</f>
        <v>9.148231647174862E-2</v>
      </c>
      <c r="I293" s="35">
        <f t="shared" ref="I293:I296" si="607">IF(OR(D293=0,D293=""),0,E293/D293)</f>
        <v>154.15422885572139</v>
      </c>
      <c r="J293" s="70">
        <f t="shared" ref="J293:J296" si="608">E293/C293</f>
        <v>96.64992669765121</v>
      </c>
      <c r="K293" s="291"/>
    </row>
    <row r="294" spans="1:11" s="11" customFormat="1" ht="14.25" customHeight="1" x14ac:dyDescent="0.15">
      <c r="A294" s="118" t="s">
        <v>894</v>
      </c>
      <c r="B294" s="98" t="s">
        <v>2154</v>
      </c>
      <c r="C294" s="143">
        <v>111.4</v>
      </c>
      <c r="D294" s="143">
        <v>15</v>
      </c>
      <c r="E294" s="143">
        <v>6949</v>
      </c>
      <c r="F294" s="62">
        <f t="shared" si="605"/>
        <v>1.9629045224484075E-2</v>
      </c>
      <c r="G294" s="143">
        <v>10497</v>
      </c>
      <c r="H294" s="27">
        <f t="shared" si="606"/>
        <v>-0.33800133371439461</v>
      </c>
      <c r="I294" s="35">
        <f t="shared" si="607"/>
        <v>463.26666666666665</v>
      </c>
      <c r="J294" s="70">
        <f t="shared" si="608"/>
        <v>62.378815080789941</v>
      </c>
      <c r="K294" s="291"/>
    </row>
    <row r="295" spans="1:11" s="11" customFormat="1" ht="14.25" customHeight="1" x14ac:dyDescent="0.15">
      <c r="A295" s="118" t="s">
        <v>851</v>
      </c>
      <c r="B295" s="98" t="s">
        <v>2155</v>
      </c>
      <c r="C295" s="143">
        <v>103.01</v>
      </c>
      <c r="D295" s="143">
        <v>2</v>
      </c>
      <c r="E295" s="143">
        <v>1560</v>
      </c>
      <c r="F295" s="62">
        <f t="shared" ref="F295" si="609">E295/$E$252</f>
        <v>4.4065780040574414E-3</v>
      </c>
      <c r="G295" s="143">
        <v>1794.6</v>
      </c>
      <c r="H295" s="27">
        <f t="shared" ref="H295" si="610">IF(OR(E295=G295,AND(E295="",G295=0),AND(E295=0,G295="")),0%,IF(OR(G295="",G295=0),100%,(E295-G295)/ABS(G295)))</f>
        <v>-0.13072550986292206</v>
      </c>
      <c r="I295" s="35">
        <f t="shared" ref="I295" si="611">IF(OR(D295=0,D295=""),0,E295/D295)</f>
        <v>780</v>
      </c>
      <c r="J295" s="70">
        <f t="shared" ref="J295" si="612">E295/C295</f>
        <v>15.144160761091156</v>
      </c>
      <c r="K295" s="291"/>
    </row>
    <row r="296" spans="1:11" s="11" customFormat="1" ht="14.25" customHeight="1" x14ac:dyDescent="0.15">
      <c r="A296" s="118" t="s">
        <v>844</v>
      </c>
      <c r="B296" s="98" t="s">
        <v>2156</v>
      </c>
      <c r="C296" s="143">
        <v>111.92</v>
      </c>
      <c r="D296" s="143">
        <v>5</v>
      </c>
      <c r="E296" s="143">
        <v>11758</v>
      </c>
      <c r="F296" s="62">
        <f t="shared" si="605"/>
        <v>3.3213169340838074E-2</v>
      </c>
      <c r="G296" s="143">
        <v>8152</v>
      </c>
      <c r="H296" s="27">
        <f t="shared" si="606"/>
        <v>0.44234543670264964</v>
      </c>
      <c r="I296" s="35">
        <f t="shared" si="607"/>
        <v>2351.6</v>
      </c>
      <c r="J296" s="70">
        <f t="shared" si="608"/>
        <v>105.05718370264475</v>
      </c>
      <c r="K296" s="291"/>
    </row>
    <row r="297" spans="1:11" s="11" customFormat="1" ht="14.25" customHeight="1" x14ac:dyDescent="0.15">
      <c r="A297" s="118" t="s">
        <v>794</v>
      </c>
      <c r="B297" s="98" t="s">
        <v>2157</v>
      </c>
      <c r="C297" s="143">
        <v>121</v>
      </c>
      <c r="D297" s="143">
        <v>9</v>
      </c>
      <c r="E297" s="143">
        <v>7618</v>
      </c>
      <c r="F297" s="62">
        <f t="shared" ref="F297" si="613">E297/$E$252</f>
        <v>2.1518789253147173E-2</v>
      </c>
      <c r="G297" s="143">
        <v>8870</v>
      </c>
      <c r="H297" s="27">
        <f t="shared" ref="H297" si="614">IF(OR(E297=G297,AND(E297="",G297=0),AND(E297=0,G297="")),0%,IF(OR(G297="",G297=0),100%,(E297-G297)/ABS(G297)))</f>
        <v>-0.14114994363021421</v>
      </c>
      <c r="I297" s="35">
        <f t="shared" ref="I297" si="615">IF(OR(D297=0,D297=""),0,E297/D297)</f>
        <v>846.44444444444446</v>
      </c>
      <c r="J297" s="70">
        <f t="shared" ref="J297" si="616">E297/C297</f>
        <v>62.958677685950413</v>
      </c>
      <c r="K297" s="291"/>
    </row>
    <row r="298" spans="1:11" s="11" customFormat="1" ht="14.25" customHeight="1" x14ac:dyDescent="0.15">
      <c r="A298" s="118" t="s">
        <v>1741</v>
      </c>
      <c r="B298" s="98" t="s">
        <v>2158</v>
      </c>
      <c r="C298" s="143">
        <v>90</v>
      </c>
      <c r="D298" s="143">
        <v>3</v>
      </c>
      <c r="E298" s="143">
        <v>3358</v>
      </c>
      <c r="F298" s="62">
        <f t="shared" ref="F298" si="617">E298/$E$252</f>
        <v>9.4854416266826197E-3</v>
      </c>
      <c r="G298" s="143">
        <v>8920</v>
      </c>
      <c r="H298" s="27">
        <f t="shared" ref="H298" si="618">IF(OR(E298=G298,AND(E298="",G298=0),AND(E298=0,G298="")),0%,IF(OR(G298="",G298=0),100%,(E298-G298)/ABS(G298)))</f>
        <v>-0.62354260089686098</v>
      </c>
      <c r="I298" s="35">
        <f t="shared" ref="I298" si="619">IF(OR(D298=0,D298=""),0,E298/D298)</f>
        <v>1119.3333333333333</v>
      </c>
      <c r="J298" s="70">
        <f t="shared" ref="J298" si="620">E298/C298</f>
        <v>37.31111111111111</v>
      </c>
      <c r="K298" s="291"/>
    </row>
    <row r="299" spans="1:11" s="11" customFormat="1" ht="14.25" customHeight="1" x14ac:dyDescent="0.15">
      <c r="A299" s="118" t="s">
        <v>800</v>
      </c>
      <c r="B299" s="98" t="s">
        <v>2159</v>
      </c>
      <c r="C299" s="143">
        <v>83</v>
      </c>
      <c r="D299" s="143">
        <v>4</v>
      </c>
      <c r="E299" s="143">
        <v>4990</v>
      </c>
      <c r="F299" s="62">
        <f t="shared" ref="F299" si="621">E299/$E$252</f>
        <v>1.4095400154004251E-2</v>
      </c>
      <c r="G299" s="143">
        <v>551</v>
      </c>
      <c r="H299" s="27">
        <f t="shared" ref="H299" si="622">IF(OR(E299=G299,AND(E299="",G299=0),AND(E299=0,G299="")),0%,IF(OR(G299="",G299=0),100%,(E299-G299)/ABS(G299)))</f>
        <v>8.0562613430127037</v>
      </c>
      <c r="I299" s="35">
        <f t="shared" ref="I299" si="623">IF(OR(D299=0,D299=""),0,E299/D299)</f>
        <v>1247.5</v>
      </c>
      <c r="J299" s="70">
        <f t="shared" ref="J299" si="624">E299/C299</f>
        <v>60.120481927710841</v>
      </c>
      <c r="K299" s="291"/>
    </row>
    <row r="300" spans="1:11" s="11" customFormat="1" ht="14.25" customHeight="1" x14ac:dyDescent="0.15">
      <c r="A300" s="118" t="s">
        <v>199</v>
      </c>
      <c r="B300" s="98" t="s">
        <v>2160</v>
      </c>
      <c r="C300" s="143">
        <v>19.09</v>
      </c>
      <c r="D300" s="143">
        <v>5</v>
      </c>
      <c r="E300" s="143">
        <v>4919</v>
      </c>
      <c r="F300" s="62">
        <f>E300/$E$252</f>
        <v>1.3894844360229842E-2</v>
      </c>
      <c r="G300" s="143">
        <v>5947</v>
      </c>
      <c r="H300" s="27">
        <f t="shared" si="594"/>
        <v>-0.17286026568017487</v>
      </c>
      <c r="I300" s="35">
        <f t="shared" si="595"/>
        <v>983.8</v>
      </c>
      <c r="J300" s="70">
        <f t="shared" ref="J300" si="625">E300/C300</f>
        <v>257.67417496071243</v>
      </c>
      <c r="K300" s="291"/>
    </row>
    <row r="301" spans="1:11" s="11" customFormat="1" ht="14.25" customHeight="1" x14ac:dyDescent="0.15">
      <c r="A301" s="118" t="s">
        <v>336</v>
      </c>
      <c r="B301" s="98" t="s">
        <v>2161</v>
      </c>
      <c r="C301" s="143">
        <v>20</v>
      </c>
      <c r="D301" s="143">
        <v>7</v>
      </c>
      <c r="E301" s="143">
        <v>600</v>
      </c>
      <c r="F301" s="62">
        <f t="shared" ref="F301" si="626">E301/$E$252</f>
        <v>1.6948376938682467E-3</v>
      </c>
      <c r="G301" s="143">
        <v>1113</v>
      </c>
      <c r="H301" s="27">
        <f t="shared" si="594"/>
        <v>-0.46091644204851751</v>
      </c>
      <c r="I301" s="35">
        <f t="shared" si="595"/>
        <v>85.714285714285708</v>
      </c>
      <c r="J301" s="70">
        <f t="shared" si="596"/>
        <v>30</v>
      </c>
      <c r="K301" s="291"/>
    </row>
    <row r="302" spans="1:11" s="11" customFormat="1" ht="14.25" customHeight="1" x14ac:dyDescent="0.15">
      <c r="A302" s="118" t="s">
        <v>337</v>
      </c>
      <c r="B302" s="98" t="s">
        <v>2426</v>
      </c>
      <c r="C302" s="143">
        <v>20</v>
      </c>
      <c r="D302" s="143">
        <v>8</v>
      </c>
      <c r="E302" s="143">
        <v>977</v>
      </c>
      <c r="F302" s="62">
        <f>E302/$E$252</f>
        <v>2.7597607115154616E-3</v>
      </c>
      <c r="G302" s="143">
        <v>4841</v>
      </c>
      <c r="H302" s="27">
        <f t="shared" si="594"/>
        <v>-0.79818219376161947</v>
      </c>
      <c r="I302" s="35">
        <f t="shared" si="595"/>
        <v>122.125</v>
      </c>
      <c r="J302" s="70">
        <f t="shared" si="596"/>
        <v>48.85</v>
      </c>
      <c r="K302" s="291"/>
    </row>
    <row r="303" spans="1:11" s="11" customFormat="1" ht="14.25" customHeight="1" x14ac:dyDescent="0.15">
      <c r="A303" s="118" t="s">
        <v>338</v>
      </c>
      <c r="B303" s="98" t="s">
        <v>2162</v>
      </c>
      <c r="C303" s="143">
        <v>20</v>
      </c>
      <c r="D303" s="143">
        <v>5</v>
      </c>
      <c r="E303" s="143">
        <v>886</v>
      </c>
      <c r="F303" s="62">
        <f>E303/$E$252</f>
        <v>2.5027103279454442E-3</v>
      </c>
      <c r="G303" s="143">
        <v>937</v>
      </c>
      <c r="H303" s="27">
        <f t="shared" si="594"/>
        <v>-5.4429028815368194E-2</v>
      </c>
      <c r="I303" s="35">
        <f t="shared" si="595"/>
        <v>177.2</v>
      </c>
      <c r="J303" s="70">
        <f t="shared" si="596"/>
        <v>44.3</v>
      </c>
      <c r="K303" s="291"/>
    </row>
    <row r="304" spans="1:11" s="11" customFormat="1" ht="14.25" customHeight="1" x14ac:dyDescent="0.15">
      <c r="A304" s="176" t="s">
        <v>697</v>
      </c>
      <c r="B304" s="177" t="s">
        <v>2427</v>
      </c>
      <c r="C304" s="178">
        <v>12</v>
      </c>
      <c r="D304" s="178">
        <v>10</v>
      </c>
      <c r="E304" s="178">
        <v>1017</v>
      </c>
      <c r="F304" s="196">
        <f>E304/$E$252</f>
        <v>2.872749891106678E-3</v>
      </c>
      <c r="G304" s="178">
        <v>769</v>
      </c>
      <c r="H304" s="179">
        <f t="shared" ref="H304" si="627">IF(OR(E304=G304,AND(E304="",G304=0),AND(E304=0,G304="")),0%,IF(OR(G304="",G304=0),100%,(E304-G304)/ABS(G304)))</f>
        <v>0.32249674902470743</v>
      </c>
      <c r="I304" s="180">
        <f t="shared" ref="I304" si="628">IF(OR(D304=0,D304=""),0,E304/D304)</f>
        <v>101.7</v>
      </c>
      <c r="J304" s="181">
        <f t="shared" ref="J304" si="629">E304/C304</f>
        <v>84.75</v>
      </c>
      <c r="K304" s="291"/>
    </row>
    <row r="305" spans="1:11" s="11" customFormat="1" ht="14.25" customHeight="1" x14ac:dyDescent="0.15">
      <c r="A305" s="176" t="s">
        <v>701</v>
      </c>
      <c r="B305" s="177" t="s">
        <v>2163</v>
      </c>
      <c r="C305" s="178">
        <v>20</v>
      </c>
      <c r="D305" s="178">
        <v>2</v>
      </c>
      <c r="E305" s="178">
        <v>352</v>
      </c>
      <c r="F305" s="196">
        <f t="shared" ref="F305" si="630">E305/$E$252</f>
        <v>9.9430478040270481E-4</v>
      </c>
      <c r="G305" s="178">
        <v>1620</v>
      </c>
      <c r="H305" s="179">
        <f t="shared" ref="H305" si="631">IF(OR(E305=G305,AND(E305="",G305=0),AND(E305=0,G305="")),0%,IF(OR(G305="",G305=0),100%,(E305-G305)/ABS(G305)))</f>
        <v>-0.78271604938271599</v>
      </c>
      <c r="I305" s="180">
        <f t="shared" ref="I305" si="632">IF(OR(D305=0,D305=""),0,E305/D305)</f>
        <v>176</v>
      </c>
      <c r="J305" s="181">
        <f t="shared" ref="J305" si="633">E305/C305</f>
        <v>17.600000000000001</v>
      </c>
      <c r="K305" s="291"/>
    </row>
    <row r="306" spans="1:11" s="11" customFormat="1" ht="14.25" customHeight="1" x14ac:dyDescent="0.15">
      <c r="A306" s="176" t="s">
        <v>711</v>
      </c>
      <c r="B306" s="177" t="s">
        <v>2428</v>
      </c>
      <c r="C306" s="178">
        <v>20</v>
      </c>
      <c r="D306" s="178"/>
      <c r="E306" s="178"/>
      <c r="F306" s="196">
        <f t="shared" ref="F306" si="634">E306/$E$252</f>
        <v>0</v>
      </c>
      <c r="G306" s="178">
        <v>777</v>
      </c>
      <c r="H306" s="179">
        <f t="shared" ref="H306" si="635">IF(OR(E306=G306,AND(E306="",G306=0),AND(E306=0,G306="")),0%,IF(OR(G306="",G306=0),100%,(E306-G306)/ABS(G306)))</f>
        <v>-1</v>
      </c>
      <c r="I306" s="180">
        <f t="shared" ref="I306" si="636">IF(OR(D306=0,D306=""),0,E306/D306)</f>
        <v>0</v>
      </c>
      <c r="J306" s="181">
        <f t="shared" ref="J306" si="637">E306/C306</f>
        <v>0</v>
      </c>
      <c r="K306" s="291"/>
    </row>
    <row r="307" spans="1:11" s="11" customFormat="1" ht="14.25" customHeight="1" x14ac:dyDescent="0.15">
      <c r="A307" s="176" t="s">
        <v>729</v>
      </c>
      <c r="B307" s="177" t="s">
        <v>2429</v>
      </c>
      <c r="C307" s="178">
        <v>20</v>
      </c>
      <c r="D307" s="178"/>
      <c r="E307" s="178"/>
      <c r="F307" s="196">
        <f t="shared" ref="F307" si="638">E307/$E$252</f>
        <v>0</v>
      </c>
      <c r="G307" s="178"/>
      <c r="H307" s="179">
        <f t="shared" ref="H307" si="639">IF(OR(E307=G307,AND(E307="",G307=0),AND(E307=0,G307="")),0%,IF(OR(G307="",G307=0),100%,(E307-G307)/ABS(G307)))</f>
        <v>0</v>
      </c>
      <c r="I307" s="180">
        <f t="shared" ref="I307" si="640">IF(OR(D307=0,D307=""),0,E307/D307)</f>
        <v>0</v>
      </c>
      <c r="J307" s="181">
        <f t="shared" ref="J307" si="641">E307/C307</f>
        <v>0</v>
      </c>
      <c r="K307" s="291"/>
    </row>
    <row r="308" spans="1:11" s="11" customFormat="1" ht="14.25" customHeight="1" x14ac:dyDescent="0.15">
      <c r="A308" s="176" t="s">
        <v>1110</v>
      </c>
      <c r="B308" s="277" t="s">
        <v>2430</v>
      </c>
      <c r="C308" s="178">
        <v>16</v>
      </c>
      <c r="D308" s="178"/>
      <c r="E308" s="178"/>
      <c r="F308" s="196">
        <f t="shared" ref="F308" si="642">E308/$E$252</f>
        <v>0</v>
      </c>
      <c r="G308" s="178">
        <v>3960</v>
      </c>
      <c r="H308" s="179">
        <f t="shared" ref="H308" si="643">IF(OR(E308=G308,AND(E308="",G308=0),AND(E308=0,G308="")),0%,IF(OR(G308="",G308=0),100%,(E308-G308)/ABS(G308)))</f>
        <v>-1</v>
      </c>
      <c r="I308" s="180">
        <f t="shared" ref="I308" si="644">IF(OR(D308=0,D308=""),0,E308/D308)</f>
        <v>0</v>
      </c>
      <c r="J308" s="181">
        <f t="shared" ref="J308" si="645">E308/C308</f>
        <v>0</v>
      </c>
      <c r="K308" s="291"/>
    </row>
    <row r="309" spans="1:11" s="11" customFormat="1" ht="14.25" customHeight="1" x14ac:dyDescent="0.15">
      <c r="A309" s="176" t="s">
        <v>1120</v>
      </c>
      <c r="B309" s="277" t="s">
        <v>2164</v>
      </c>
      <c r="C309" s="178">
        <v>49.5</v>
      </c>
      <c r="D309" s="178">
        <v>50</v>
      </c>
      <c r="E309" s="178">
        <v>1860</v>
      </c>
      <c r="F309" s="196">
        <f t="shared" ref="F309" si="646">E309/$E$252</f>
        <v>5.2539968509915649E-3</v>
      </c>
      <c r="G309" s="178">
        <v>1377</v>
      </c>
      <c r="H309" s="179">
        <f t="shared" ref="H309" si="647">IF(OR(E309=G309,AND(E309="",G309=0),AND(E309=0,G309="")),0%,IF(OR(G309="",G309=0),100%,(E309-G309)/ABS(G309)))</f>
        <v>0.35076252723311546</v>
      </c>
      <c r="I309" s="180">
        <f t="shared" ref="I309" si="648">IF(OR(D309=0,D309=""),0,E309/D309)</f>
        <v>37.200000000000003</v>
      </c>
      <c r="J309" s="181">
        <f t="shared" ref="J309" si="649">E309/C309</f>
        <v>37.575757575757578</v>
      </c>
      <c r="K309" s="291"/>
    </row>
    <row r="310" spans="1:11" s="11" customFormat="1" ht="14.25" customHeight="1" x14ac:dyDescent="0.15">
      <c r="A310" s="176" t="s">
        <v>1111</v>
      </c>
      <c r="B310" s="277" t="s">
        <v>2165</v>
      </c>
      <c r="C310" s="178">
        <v>20</v>
      </c>
      <c r="D310" s="178">
        <v>1</v>
      </c>
      <c r="E310" s="178">
        <v>299</v>
      </c>
      <c r="F310" s="196">
        <f t="shared" ref="F310" si="650">E310/$E$252</f>
        <v>8.4459411744434293E-4</v>
      </c>
      <c r="G310" s="178">
        <v>666</v>
      </c>
      <c r="H310" s="179">
        <f t="shared" ref="H310" si="651">IF(OR(E310=G310,AND(E310="",G310=0),AND(E310=0,G310="")),0%,IF(OR(G310="",G310=0),100%,(E310-G310)/ABS(G310)))</f>
        <v>-0.55105105105105101</v>
      </c>
      <c r="I310" s="180">
        <f t="shared" ref="I310" si="652">IF(OR(D310=0,D310=""),0,E310/D310)</f>
        <v>299</v>
      </c>
      <c r="J310" s="181">
        <f t="shared" ref="J310" si="653">E310/C310</f>
        <v>14.95</v>
      </c>
      <c r="K310" s="291"/>
    </row>
    <row r="311" spans="1:11" s="11" customFormat="1" ht="14.25" customHeight="1" x14ac:dyDescent="0.15">
      <c r="A311" s="176" t="s">
        <v>1137</v>
      </c>
      <c r="B311" s="277" t="s">
        <v>2166</v>
      </c>
      <c r="C311" s="178">
        <v>12</v>
      </c>
      <c r="D311" s="178"/>
      <c r="E311" s="178"/>
      <c r="F311" s="196">
        <f t="shared" ref="F311:F312" si="654">E311/$E$252</f>
        <v>0</v>
      </c>
      <c r="G311" s="178"/>
      <c r="H311" s="179">
        <f t="shared" ref="H311:H312" si="655">IF(OR(E311=G311,AND(E311="",G311=0),AND(E311=0,G311="")),0%,IF(OR(G311="",G311=0),100%,(E311-G311)/ABS(G311)))</f>
        <v>0</v>
      </c>
      <c r="I311" s="180">
        <f t="shared" ref="I311:I312" si="656">IF(OR(D311=0,D311=""),0,E311/D311)</f>
        <v>0</v>
      </c>
      <c r="J311" s="181">
        <f t="shared" ref="J311:J312" si="657">E311/C311</f>
        <v>0</v>
      </c>
      <c r="K311" s="291"/>
    </row>
    <row r="312" spans="1:11" s="11" customFormat="1" ht="14.25" customHeight="1" x14ac:dyDescent="0.15">
      <c r="A312" s="176" t="s">
        <v>1698</v>
      </c>
      <c r="B312" s="277" t="s">
        <v>2348</v>
      </c>
      <c r="C312" s="178">
        <v>20</v>
      </c>
      <c r="D312" s="178">
        <v>10</v>
      </c>
      <c r="E312" s="178">
        <v>1118</v>
      </c>
      <c r="F312" s="196">
        <f t="shared" si="654"/>
        <v>3.1580475695744997E-3</v>
      </c>
      <c r="G312" s="178">
        <v>1752</v>
      </c>
      <c r="H312" s="179">
        <f t="shared" si="655"/>
        <v>-0.36187214611872148</v>
      </c>
      <c r="I312" s="180">
        <f t="shared" si="656"/>
        <v>111.8</v>
      </c>
      <c r="J312" s="181">
        <f t="shared" si="657"/>
        <v>55.9</v>
      </c>
      <c r="K312" s="291"/>
    </row>
    <row r="313" spans="1:11" s="11" customFormat="1" ht="14.25" customHeight="1" x14ac:dyDescent="0.15">
      <c r="A313" s="176" t="s">
        <v>1720</v>
      </c>
      <c r="B313" s="277" t="s">
        <v>2167</v>
      </c>
      <c r="C313" s="178">
        <v>12</v>
      </c>
      <c r="D313" s="178">
        <v>1</v>
      </c>
      <c r="E313" s="178">
        <v>207</v>
      </c>
      <c r="F313" s="196">
        <f t="shared" ref="F313" si="658">E313/$E$252</f>
        <v>5.8471900438454506E-4</v>
      </c>
      <c r="G313" s="178">
        <v>2034</v>
      </c>
      <c r="H313" s="179">
        <f t="shared" ref="H313" si="659">IF(OR(E313=G313,AND(E313="",G313=0),AND(E313=0,G313="")),0%,IF(OR(G313="",G313=0),100%,(E313-G313)/ABS(G313)))</f>
        <v>-0.89823008849557517</v>
      </c>
      <c r="I313" s="180">
        <f t="shared" ref="I313" si="660">IF(OR(D313=0,D313=""),0,E313/D313)</f>
        <v>207</v>
      </c>
      <c r="J313" s="181">
        <f t="shared" ref="J313" si="661">E313/C313</f>
        <v>17.25</v>
      </c>
      <c r="K313" s="291"/>
    </row>
    <row r="314" spans="1:11" s="11" customFormat="1" ht="14.25" customHeight="1" x14ac:dyDescent="0.15">
      <c r="A314" s="176" t="s">
        <v>1811</v>
      </c>
      <c r="B314" s="277" t="s">
        <v>2168</v>
      </c>
      <c r="C314" s="178">
        <v>60</v>
      </c>
      <c r="D314" s="178">
        <v>16</v>
      </c>
      <c r="E314" s="178">
        <v>680</v>
      </c>
      <c r="F314" s="196">
        <f t="shared" ref="F314" si="662">E314/$E$252</f>
        <v>1.9208160530506796E-3</v>
      </c>
      <c r="G314" s="178">
        <v>394</v>
      </c>
      <c r="H314" s="179">
        <f t="shared" ref="H314" si="663">IF(OR(E314=G314,AND(E314="",G314=0),AND(E314=0,G314="")),0%,IF(OR(G314="",G314=0),100%,(E314-G314)/ABS(G314)))</f>
        <v>0.7258883248730964</v>
      </c>
      <c r="I314" s="180">
        <f t="shared" ref="I314" si="664">IF(OR(D314=0,D314=""),0,E314/D314)</f>
        <v>42.5</v>
      </c>
      <c r="J314" s="181">
        <f t="shared" ref="J314" si="665">E314/C314</f>
        <v>11.333333333333334</v>
      </c>
      <c r="K314" s="291"/>
    </row>
    <row r="315" spans="1:11" s="11" customFormat="1" ht="14.25" customHeight="1" x14ac:dyDescent="0.15">
      <c r="A315" s="176" t="s">
        <v>1778</v>
      </c>
      <c r="B315" s="277" t="s">
        <v>2431</v>
      </c>
      <c r="C315" s="178">
        <v>15</v>
      </c>
      <c r="D315" s="178">
        <v>1</v>
      </c>
      <c r="E315" s="178">
        <v>762</v>
      </c>
      <c r="F315" s="196">
        <f t="shared" ref="F315" si="666">E315/$E$252</f>
        <v>2.1524438712126732E-3</v>
      </c>
      <c r="G315" s="178">
        <v>799</v>
      </c>
      <c r="H315" s="179">
        <f t="shared" ref="H315" si="667">IF(OR(E315=G315,AND(E315="",G315=0),AND(E315=0,G315="")),0%,IF(OR(G315="",G315=0),100%,(E315-G315)/ABS(G315)))</f>
        <v>-4.630788485607009E-2</v>
      </c>
      <c r="I315" s="180">
        <f t="shared" ref="I315" si="668">IF(OR(D315=0,D315=""),0,E315/D315)</f>
        <v>762</v>
      </c>
      <c r="J315" s="181">
        <f t="shared" ref="J315" si="669">E315/C315</f>
        <v>50.8</v>
      </c>
      <c r="K315" s="291"/>
    </row>
    <row r="316" spans="1:11" s="11" customFormat="1" ht="14.25" customHeight="1" x14ac:dyDescent="0.15">
      <c r="A316" s="176" t="s">
        <v>1821</v>
      </c>
      <c r="B316" s="277" t="s">
        <v>2169</v>
      </c>
      <c r="C316" s="178">
        <v>15</v>
      </c>
      <c r="D316" s="178">
        <v>4</v>
      </c>
      <c r="E316" s="178">
        <v>4036</v>
      </c>
      <c r="F316" s="196">
        <f t="shared" ref="F316" si="670">E316/$E$252</f>
        <v>1.140060822075374E-2</v>
      </c>
      <c r="G316" s="178">
        <v>2094</v>
      </c>
      <c r="H316" s="179">
        <f t="shared" ref="H316" si="671">IF(OR(E316=G316,AND(E316="",G316=0),AND(E316=0,G316="")),0%,IF(OR(G316="",G316=0),100%,(E316-G316)/ABS(G316)))</f>
        <v>0.9274116523400191</v>
      </c>
      <c r="I316" s="180">
        <f t="shared" ref="I316" si="672">IF(OR(D316=0,D316=""),0,E316/D316)</f>
        <v>1009</v>
      </c>
      <c r="J316" s="181">
        <f t="shared" ref="J316" si="673">E316/C316</f>
        <v>269.06666666666666</v>
      </c>
      <c r="K316" s="291"/>
    </row>
    <row r="317" spans="1:11" s="11" customFormat="1" ht="14.25" customHeight="1" x14ac:dyDescent="0.15">
      <c r="A317" s="176" t="s">
        <v>1781</v>
      </c>
      <c r="B317" s="277" t="s">
        <v>2432</v>
      </c>
      <c r="C317" s="178">
        <v>15</v>
      </c>
      <c r="D317" s="178"/>
      <c r="E317" s="178"/>
      <c r="F317" s="196">
        <f t="shared" ref="F317" si="674">E317/$E$252</f>
        <v>0</v>
      </c>
      <c r="G317" s="178"/>
      <c r="H317" s="179">
        <f t="shared" ref="H317" si="675">IF(OR(E317=G317,AND(E317="",G317=0),AND(E317=0,G317="")),0%,IF(OR(G317="",G317=0),100%,(E317-G317)/ABS(G317)))</f>
        <v>0</v>
      </c>
      <c r="I317" s="180">
        <f t="shared" ref="I317" si="676">IF(OR(D317=0,D317=""),0,E317/D317)</f>
        <v>0</v>
      </c>
      <c r="J317" s="181">
        <f t="shared" ref="J317" si="677">E317/C317</f>
        <v>0</v>
      </c>
      <c r="K317" s="291"/>
    </row>
    <row r="318" spans="1:11" s="11" customFormat="1" ht="14.25" customHeight="1" x14ac:dyDescent="0.15">
      <c r="A318" s="124" t="s">
        <v>1903</v>
      </c>
      <c r="B318" s="282" t="s">
        <v>2349</v>
      </c>
      <c r="C318" s="164">
        <v>20</v>
      </c>
      <c r="D318" s="164">
        <v>3</v>
      </c>
      <c r="E318" s="164">
        <v>1096</v>
      </c>
      <c r="F318" s="114">
        <f t="shared" ref="F318" si="678">E318/$E$252</f>
        <v>3.0959035207993304E-3</v>
      </c>
      <c r="G318" s="164">
        <v>1546</v>
      </c>
      <c r="H318" s="29">
        <f t="shared" ref="H318" si="679">IF(OR(E318=G318,AND(E318="",G318=0),AND(E318=0,G318="")),0%,IF(OR(G318="",G318=0),100%,(E318-G318)/ABS(G318)))</f>
        <v>-0.29107373868046571</v>
      </c>
      <c r="I318" s="36">
        <f t="shared" ref="I318" si="680">IF(OR(D318=0,D318=""),0,E318/D318)</f>
        <v>365.33333333333331</v>
      </c>
      <c r="J318" s="71">
        <f t="shared" ref="J318" si="681">E318/C318</f>
        <v>54.8</v>
      </c>
      <c r="K318" s="291"/>
    </row>
    <row r="319" spans="1:11" s="11" customFormat="1" ht="14.25" customHeight="1" x14ac:dyDescent="0.15">
      <c r="A319" s="86"/>
      <c r="B319" s="86"/>
      <c r="C319" s="137"/>
      <c r="D319" s="156"/>
      <c r="E319" s="86"/>
      <c r="F319" s="86"/>
      <c r="G319" s="86"/>
      <c r="H319" s="86"/>
      <c r="I319" s="86"/>
      <c r="J319" s="86"/>
    </row>
    <row r="320" spans="1:11" s="11" customFormat="1" ht="14.25" customHeight="1" x14ac:dyDescent="0.15">
      <c r="A320" s="322" t="s">
        <v>79</v>
      </c>
      <c r="B320" s="323"/>
      <c r="C320" s="323"/>
      <c r="D320" s="323"/>
      <c r="E320" s="323"/>
      <c r="F320" s="323"/>
      <c r="G320" s="323"/>
      <c r="H320" s="323"/>
      <c r="I320" s="323"/>
      <c r="J320" s="324"/>
    </row>
    <row r="321" spans="1:11" s="11" customFormat="1" ht="14.25" customHeight="1" x14ac:dyDescent="0.15">
      <c r="A321" s="48" t="s">
        <v>116</v>
      </c>
      <c r="B321" s="49" t="s">
        <v>56</v>
      </c>
      <c r="C321" s="145" t="s">
        <v>57</v>
      </c>
      <c r="D321" s="162" t="s">
        <v>58</v>
      </c>
      <c r="E321" s="50" t="s">
        <v>59</v>
      </c>
      <c r="F321" s="49" t="s">
        <v>64</v>
      </c>
      <c r="G321" s="49" t="s">
        <v>60</v>
      </c>
      <c r="H321" s="51" t="s">
        <v>61</v>
      </c>
      <c r="I321" s="51" t="s">
        <v>62</v>
      </c>
      <c r="J321" s="52" t="s">
        <v>63</v>
      </c>
    </row>
    <row r="322" spans="1:11" s="11" customFormat="1" ht="14.25" customHeight="1" x14ac:dyDescent="0.15">
      <c r="A322" s="47" t="s">
        <v>65</v>
      </c>
      <c r="B322" s="45"/>
      <c r="C322" s="146">
        <f>SUM(C323:C402)</f>
        <v>9858.1700000000019</v>
      </c>
      <c r="D322" s="146">
        <f>SUM(D323:D402)</f>
        <v>1259</v>
      </c>
      <c r="E322" s="46">
        <f>SUM(E323:E402)</f>
        <v>554359.30000000005</v>
      </c>
      <c r="F322" s="105">
        <f>SUM(F323:F402)</f>
        <v>1</v>
      </c>
      <c r="G322" s="46">
        <f>SUM(G323:G402)</f>
        <v>514675.1</v>
      </c>
      <c r="H322" s="44">
        <f t="shared" ref="H322:H352" si="682">IF(OR(E322=G322,AND(E322="",G322=0),AND(E322=0,G322="")),0%,IF(OR(G322="",G322=0),100%,(E322-G322)/ABS(G322)))</f>
        <v>7.7105342768671092E-2</v>
      </c>
      <c r="I322" s="79">
        <f t="shared" ref="I322:I323" si="683">IF(OR(D322=0,D322=""),0,E322/D322)</f>
        <v>440.31715647339161</v>
      </c>
      <c r="J322" s="72">
        <f t="shared" ref="J322:J326" si="684">E322/C322</f>
        <v>56.233489582752171</v>
      </c>
    </row>
    <row r="323" spans="1:11" s="11" customFormat="1" ht="14.25" customHeight="1" x14ac:dyDescent="0.15">
      <c r="A323" s="118" t="s">
        <v>359</v>
      </c>
      <c r="B323" s="98" t="s">
        <v>2170</v>
      </c>
      <c r="C323" s="143">
        <v>141.72999999999999</v>
      </c>
      <c r="D323" s="143">
        <v>18</v>
      </c>
      <c r="E323" s="143">
        <v>7279</v>
      </c>
      <c r="F323" s="62">
        <f t="shared" ref="F323" si="685">E323/$E$322</f>
        <v>1.3130473322987455E-2</v>
      </c>
      <c r="G323" s="143">
        <v>3810</v>
      </c>
      <c r="H323" s="27">
        <f t="shared" ref="H323" si="686">IF(OR(E323=G323,AND(E323="",G323=0),AND(E323=0,G323="")),0%,IF(OR(G323="",G323=0),100%,(E323-G323)/ABS(G323)))</f>
        <v>0.91049868766404196</v>
      </c>
      <c r="I323" s="35">
        <f t="shared" si="683"/>
        <v>404.38888888888891</v>
      </c>
      <c r="J323" s="70">
        <f t="shared" si="684"/>
        <v>51.358216326818599</v>
      </c>
      <c r="K323" s="292"/>
    </row>
    <row r="324" spans="1:11" s="11" customFormat="1" ht="14.25" customHeight="1" x14ac:dyDescent="0.15">
      <c r="A324" s="118" t="s">
        <v>880</v>
      </c>
      <c r="B324" s="98" t="s">
        <v>2433</v>
      </c>
      <c r="C324" s="143">
        <v>45</v>
      </c>
      <c r="D324" s="143">
        <v>15</v>
      </c>
      <c r="E324" s="143">
        <v>12303.9</v>
      </c>
      <c r="F324" s="62">
        <f t="shared" ref="F324" si="687">E324/$E$322</f>
        <v>2.2194811199162705E-2</v>
      </c>
      <c r="G324" s="143">
        <v>6707.8</v>
      </c>
      <c r="H324" s="27">
        <f t="shared" ref="H324" si="688">IF(OR(E324=G324,AND(E324="",G324=0),AND(E324=0,G324="")),0%,IF(OR(G324="",G324=0),100%,(E324-G324)/ABS(G324)))</f>
        <v>0.83426756909866118</v>
      </c>
      <c r="I324" s="35">
        <f t="shared" ref="I324" si="689">IF(OR(D324=0,D324=""),0,E324/D324)</f>
        <v>820.26</v>
      </c>
      <c r="J324" s="70">
        <f t="shared" ref="J324" si="690">E324/C324</f>
        <v>273.42</v>
      </c>
      <c r="K324" s="292"/>
    </row>
    <row r="325" spans="1:11" s="11" customFormat="1" ht="14.25" customHeight="1" x14ac:dyDescent="0.15">
      <c r="A325" s="118" t="s">
        <v>509</v>
      </c>
      <c r="B325" s="98" t="s">
        <v>2171</v>
      </c>
      <c r="C325" s="143">
        <v>86</v>
      </c>
      <c r="D325" s="143">
        <v>14</v>
      </c>
      <c r="E325" s="143">
        <v>20108</v>
      </c>
      <c r="F325" s="62">
        <f t="shared" ref="F325:F326" si="691">E325/$E$322</f>
        <v>3.62725041322478E-2</v>
      </c>
      <c r="G325" s="143">
        <v>921</v>
      </c>
      <c r="H325" s="27">
        <f t="shared" ref="H325:H326" si="692">IF(OR(E325=G325,AND(E325="",G325=0),AND(E325=0,G325="")),0%,IF(OR(G325="",G325=0),100%,(E325-G325)/ABS(G325)))</f>
        <v>20.832790445168296</v>
      </c>
      <c r="I325" s="35">
        <f t="shared" ref="I325:I326" si="693">IF(OR(D325=0,D325=""),0,E325/D325)</f>
        <v>1436.2857142857142</v>
      </c>
      <c r="J325" s="70">
        <f t="shared" si="684"/>
        <v>233.81395348837211</v>
      </c>
      <c r="K325" s="292"/>
    </row>
    <row r="326" spans="1:11" s="11" customFormat="1" ht="14.25" customHeight="1" x14ac:dyDescent="0.15">
      <c r="A326" s="118" t="s">
        <v>518</v>
      </c>
      <c r="B326" s="98" t="s">
        <v>2172</v>
      </c>
      <c r="C326" s="143">
        <v>205</v>
      </c>
      <c r="D326" s="143">
        <v>38</v>
      </c>
      <c r="E326" s="143">
        <v>6771.2</v>
      </c>
      <c r="F326" s="62">
        <f t="shared" si="691"/>
        <v>1.2214460910099279E-2</v>
      </c>
      <c r="G326" s="143">
        <v>7233.8</v>
      </c>
      <c r="H326" s="27">
        <f t="shared" si="692"/>
        <v>-6.3949791257706931E-2</v>
      </c>
      <c r="I326" s="35">
        <f t="shared" si="693"/>
        <v>178.18947368421053</v>
      </c>
      <c r="J326" s="70">
        <f t="shared" si="684"/>
        <v>33.030243902439025</v>
      </c>
      <c r="K326" s="292"/>
    </row>
    <row r="327" spans="1:11" s="11" customFormat="1" ht="14.25" customHeight="1" x14ac:dyDescent="0.15">
      <c r="A327" s="118" t="s">
        <v>1768</v>
      </c>
      <c r="B327" s="98" t="s">
        <v>2434</v>
      </c>
      <c r="C327" s="143">
        <v>15</v>
      </c>
      <c r="D327" s="143">
        <v>4</v>
      </c>
      <c r="E327" s="143">
        <v>2256</v>
      </c>
      <c r="F327" s="62">
        <f t="shared" ref="F327" si="694">E327/$E$322</f>
        <v>4.0695628268525479E-3</v>
      </c>
      <c r="G327" s="143">
        <v>318</v>
      </c>
      <c r="H327" s="27">
        <f t="shared" ref="H327" si="695">IF(OR(E327=G327,AND(E327="",G327=0),AND(E327=0,G327="")),0%,IF(OR(G327="",G327=0),100%,(E327-G327)/ABS(G327)))</f>
        <v>6.0943396226415096</v>
      </c>
      <c r="I327" s="35">
        <f t="shared" ref="I327" si="696">IF(OR(D327=0,D327=""),0,E327/D327)</f>
        <v>564</v>
      </c>
      <c r="J327" s="70">
        <f t="shared" ref="J327" si="697">E327/C327</f>
        <v>150.4</v>
      </c>
      <c r="K327" s="292"/>
    </row>
    <row r="328" spans="1:11" s="11" customFormat="1" ht="14.25" customHeight="1" x14ac:dyDescent="0.15">
      <c r="A328" s="118" t="s">
        <v>902</v>
      </c>
      <c r="B328" s="98" t="s">
        <v>2435</v>
      </c>
      <c r="C328" s="143">
        <v>25</v>
      </c>
      <c r="D328" s="143">
        <v>5</v>
      </c>
      <c r="E328" s="143">
        <v>2196</v>
      </c>
      <c r="F328" s="62">
        <f t="shared" ref="F328" si="698">E328/$E$322</f>
        <v>3.9613297729468953E-3</v>
      </c>
      <c r="G328" s="143">
        <v>1537</v>
      </c>
      <c r="H328" s="27">
        <f t="shared" ref="H328" si="699">IF(OR(E328=G328,AND(E328="",G328=0),AND(E328=0,G328="")),0%,IF(OR(G328="",G328=0),100%,(E328-G328)/ABS(G328)))</f>
        <v>0.42875731945348083</v>
      </c>
      <c r="I328" s="35">
        <f t="shared" ref="I328" si="700">IF(OR(D328=0,D328=""),0,E328/D328)</f>
        <v>439.2</v>
      </c>
      <c r="J328" s="70">
        <f t="shared" ref="J328" si="701">E328/C328</f>
        <v>87.84</v>
      </c>
      <c r="K328" s="292"/>
    </row>
    <row r="329" spans="1:11" s="11" customFormat="1" ht="14.25" customHeight="1" x14ac:dyDescent="0.15">
      <c r="A329" s="118" t="s">
        <v>1643</v>
      </c>
      <c r="B329" s="98" t="s">
        <v>2436</v>
      </c>
      <c r="C329" s="143">
        <v>123.47</v>
      </c>
      <c r="D329" s="143">
        <v>8</v>
      </c>
      <c r="E329" s="143">
        <v>6306</v>
      </c>
      <c r="F329" s="62">
        <f t="shared" ref="F329" si="702">E329/$E$322</f>
        <v>1.1375293965484118E-2</v>
      </c>
      <c r="G329" s="143">
        <v>10459</v>
      </c>
      <c r="H329" s="27">
        <f t="shared" ref="H329" si="703">IF(OR(E329=G329,AND(E329="",G329=0),AND(E329=0,G329="")),0%,IF(OR(G329="",G329=0),100%,(E329-G329)/ABS(G329)))</f>
        <v>-0.39707429008509415</v>
      </c>
      <c r="I329" s="35">
        <f t="shared" ref="I329" si="704">IF(OR(D329=0,D329=""),0,E329/D329)</f>
        <v>788.25</v>
      </c>
      <c r="J329" s="70">
        <f t="shared" ref="J329" si="705">E329/C329</f>
        <v>51.073135174536326</v>
      </c>
      <c r="K329" s="292"/>
    </row>
    <row r="330" spans="1:11" s="11" customFormat="1" ht="14.25" customHeight="1" x14ac:dyDescent="0.15">
      <c r="A330" s="118" t="s">
        <v>128</v>
      </c>
      <c r="B330" s="98" t="s">
        <v>2173</v>
      </c>
      <c r="C330" s="143">
        <v>119.74</v>
      </c>
      <c r="D330" s="143">
        <v>6</v>
      </c>
      <c r="E330" s="143">
        <v>4228</v>
      </c>
      <c r="F330" s="62">
        <f>E330/$E$322</f>
        <v>7.6268225318850058E-3</v>
      </c>
      <c r="G330" s="143">
        <v>2467</v>
      </c>
      <c r="H330" s="27">
        <f t="shared" si="682"/>
        <v>0.71382245642480746</v>
      </c>
      <c r="I330" s="35">
        <f t="shared" ref="I330:I353" si="706">IF(OR(D330=0,D330=""),0,E330/D330)</f>
        <v>704.66666666666663</v>
      </c>
      <c r="J330" s="70">
        <f t="shared" ref="J330:J353" si="707">E330/C330</f>
        <v>35.309837982294972</v>
      </c>
      <c r="K330" s="292"/>
    </row>
    <row r="331" spans="1:11" s="11" customFormat="1" ht="14.25" customHeight="1" x14ac:dyDescent="0.15">
      <c r="A331" s="118" t="s">
        <v>1662</v>
      </c>
      <c r="B331" s="98" t="s">
        <v>2174</v>
      </c>
      <c r="C331" s="143">
        <v>56.6</v>
      </c>
      <c r="D331" s="143">
        <v>4</v>
      </c>
      <c r="E331" s="143">
        <v>1430</v>
      </c>
      <c r="F331" s="62">
        <f t="shared" ref="F331" si="708">E331/$E$322</f>
        <v>2.5795544514180604E-3</v>
      </c>
      <c r="G331" s="143">
        <v>2400</v>
      </c>
      <c r="H331" s="27">
        <f t="shared" ref="H331" si="709">IF(OR(E331=G331,AND(E331="",G331=0),AND(E331=0,G331="")),0%,IF(OR(G331="",G331=0),100%,(E331-G331)/ABS(G331)))</f>
        <v>-0.40416666666666667</v>
      </c>
      <c r="I331" s="35">
        <f t="shared" ref="I331" si="710">IF(OR(D331=0,D331=""),0,E331/D331)</f>
        <v>357.5</v>
      </c>
      <c r="J331" s="70">
        <f t="shared" ref="J331" si="711">E331/C331</f>
        <v>25.265017667844521</v>
      </c>
      <c r="K331" s="292"/>
    </row>
    <row r="332" spans="1:11" s="11" customFormat="1" ht="14.25" customHeight="1" x14ac:dyDescent="0.15">
      <c r="A332" s="118" t="s">
        <v>664</v>
      </c>
      <c r="B332" s="98" t="s">
        <v>2175</v>
      </c>
      <c r="C332" s="143">
        <v>76.099999999999994</v>
      </c>
      <c r="D332" s="143">
        <v>9</v>
      </c>
      <c r="E332" s="143">
        <v>5210.1000000000004</v>
      </c>
      <c r="F332" s="62">
        <f t="shared" ref="F332" si="712">E332/$E$322</f>
        <v>9.3984172358973685E-3</v>
      </c>
      <c r="G332" s="143">
        <v>7351</v>
      </c>
      <c r="H332" s="27">
        <f t="shared" ref="H332" si="713">IF(OR(E332=G332,AND(E332="",G332=0),AND(E332=0,G332="")),0%,IF(OR(G332="",G332=0),100%,(E332-G332)/ABS(G332)))</f>
        <v>-0.2912392871718133</v>
      </c>
      <c r="I332" s="35">
        <f t="shared" ref="I332" si="714">IF(OR(D332=0,D332=""),0,E332/D332)</f>
        <v>578.90000000000009</v>
      </c>
      <c r="J332" s="70">
        <f t="shared" ref="J332" si="715">E332/C332</f>
        <v>68.463863337713548</v>
      </c>
      <c r="K332" s="292"/>
    </row>
    <row r="333" spans="1:11" s="11" customFormat="1" ht="14.25" customHeight="1" x14ac:dyDescent="0.15">
      <c r="A333" s="118" t="s">
        <v>917</v>
      </c>
      <c r="B333" s="98" t="s">
        <v>2176</v>
      </c>
      <c r="C333" s="143">
        <v>43</v>
      </c>
      <c r="D333" s="143">
        <v>18</v>
      </c>
      <c r="E333" s="143">
        <v>2566.1999999999998</v>
      </c>
      <c r="F333" s="62">
        <f t="shared" ref="F333" si="716">E333/$E$322</f>
        <v>4.629127715544773E-3</v>
      </c>
      <c r="G333" s="143">
        <v>2274.1</v>
      </c>
      <c r="H333" s="27">
        <f t="shared" ref="H333" si="717">IF(OR(E333=G333,AND(E333="",G333=0),AND(E333=0,G333="")),0%,IF(OR(G333="",G333=0),100%,(E333-G333)/ABS(G333)))</f>
        <v>0.12844641836330853</v>
      </c>
      <c r="I333" s="35">
        <f t="shared" ref="I333" si="718">IF(OR(D333=0,D333=""),0,E333/D333)</f>
        <v>142.56666666666666</v>
      </c>
      <c r="J333" s="70">
        <f t="shared" ref="J333" si="719">E333/C333</f>
        <v>59.67906976744186</v>
      </c>
      <c r="K333" s="292"/>
    </row>
    <row r="334" spans="1:11" s="11" customFormat="1" ht="14.25" customHeight="1" x14ac:dyDescent="0.15">
      <c r="A334" s="118" t="s">
        <v>924</v>
      </c>
      <c r="B334" s="98" t="s">
        <v>2177</v>
      </c>
      <c r="C334" s="143">
        <v>40.24</v>
      </c>
      <c r="D334" s="143">
        <v>1</v>
      </c>
      <c r="E334" s="143">
        <v>988</v>
      </c>
      <c r="F334" s="62">
        <f t="shared" ref="F334" si="720">E334/$E$322</f>
        <v>1.7822376209797508E-3</v>
      </c>
      <c r="G334" s="143">
        <v>1265</v>
      </c>
      <c r="H334" s="27">
        <f t="shared" ref="H334" si="721">IF(OR(E334=G334,AND(E334="",G334=0),AND(E334=0,G334="")),0%,IF(OR(G334="",G334=0),100%,(E334-G334)/ABS(G334)))</f>
        <v>-0.21897233201581029</v>
      </c>
      <c r="I334" s="35">
        <f t="shared" ref="I334" si="722">IF(OR(D334=0,D334=""),0,E334/D334)</f>
        <v>988</v>
      </c>
      <c r="J334" s="70">
        <f t="shared" ref="J334" si="723">E334/C334</f>
        <v>24.552683896620277</v>
      </c>
      <c r="K334" s="292"/>
    </row>
    <row r="335" spans="1:11" s="11" customFormat="1" ht="14.25" customHeight="1" x14ac:dyDescent="0.15">
      <c r="A335" s="118" t="s">
        <v>1674</v>
      </c>
      <c r="B335" s="98" t="s">
        <v>2178</v>
      </c>
      <c r="C335" s="143">
        <v>90</v>
      </c>
      <c r="D335" s="143">
        <v>8</v>
      </c>
      <c r="E335" s="143">
        <v>5826</v>
      </c>
      <c r="F335" s="62">
        <f t="shared" ref="F335" si="724">E335/$E$322</f>
        <v>1.0509429534238895E-2</v>
      </c>
      <c r="G335" s="143">
        <v>3774</v>
      </c>
      <c r="H335" s="27">
        <f t="shared" ref="H335" si="725">IF(OR(E335=G335,AND(E335="",G335=0),AND(E335=0,G335="")),0%,IF(OR(G335="",G335=0),100%,(E335-G335)/ABS(G335)))</f>
        <v>0.54372019077901435</v>
      </c>
      <c r="I335" s="35">
        <f t="shared" ref="I335" si="726">IF(OR(D335=0,D335=""),0,E335/D335)</f>
        <v>728.25</v>
      </c>
      <c r="J335" s="70">
        <f t="shared" ref="J335" si="727">E335/C335</f>
        <v>64.733333333333334</v>
      </c>
      <c r="K335" s="292"/>
    </row>
    <row r="336" spans="1:11" s="11" customFormat="1" ht="14.25" customHeight="1" x14ac:dyDescent="0.15">
      <c r="A336" s="118" t="s">
        <v>1748</v>
      </c>
      <c r="B336" s="98" t="s">
        <v>2179</v>
      </c>
      <c r="C336" s="143">
        <v>51.99</v>
      </c>
      <c r="D336" s="143">
        <v>15</v>
      </c>
      <c r="E336" s="143">
        <v>6757</v>
      </c>
      <c r="F336" s="62">
        <f t="shared" ref="F336" si="728">E336/$E$322</f>
        <v>1.2188845754008274E-2</v>
      </c>
      <c r="G336" s="143">
        <v>3111</v>
      </c>
      <c r="H336" s="27">
        <f t="shared" ref="H336" si="729">IF(OR(E336=G336,AND(E336="",G336=0),AND(E336=0,G336="")),0%,IF(OR(G336="",G336=0),100%,(E336-G336)/ABS(G336)))</f>
        <v>1.1719704275152685</v>
      </c>
      <c r="I336" s="35">
        <f t="shared" ref="I336" si="730">IF(OR(D336=0,D336=""),0,E336/D336)</f>
        <v>450.46666666666664</v>
      </c>
      <c r="J336" s="70">
        <f t="shared" ref="J336" si="731">E336/C336</f>
        <v>129.96730140411617</v>
      </c>
      <c r="K336" s="292"/>
    </row>
    <row r="337" spans="1:11" s="11" customFormat="1" ht="14.25" customHeight="1" x14ac:dyDescent="0.15">
      <c r="A337" s="123" t="s">
        <v>921</v>
      </c>
      <c r="B337" s="98" t="s">
        <v>2180</v>
      </c>
      <c r="C337" s="143">
        <v>59</v>
      </c>
      <c r="D337" s="143">
        <v>9</v>
      </c>
      <c r="E337" s="143">
        <v>3570</v>
      </c>
      <c r="F337" s="62">
        <f>E337/$E$322</f>
        <v>6.4398667073863464E-3</v>
      </c>
      <c r="G337" s="143">
        <v>851</v>
      </c>
      <c r="H337" s="27">
        <f t="shared" ref="H337" si="732">IF(OR(E337=G337,AND(E337="",G337=0),AND(E337=0,G337="")),0%,IF(OR(G337="",G337=0),100%,(E337-G337)/ABS(G337)))</f>
        <v>3.1950646298472387</v>
      </c>
      <c r="I337" s="35">
        <f t="shared" ref="I337" si="733">IF(OR(D337=0,D337=""),0,E337/D337)</f>
        <v>396.66666666666669</v>
      </c>
      <c r="J337" s="70">
        <f t="shared" ref="J337" si="734">E337/C337</f>
        <v>60.508474576271183</v>
      </c>
      <c r="K337" s="292"/>
    </row>
    <row r="338" spans="1:11" s="11" customFormat="1" ht="14.25" customHeight="1" x14ac:dyDescent="0.15">
      <c r="A338" s="123" t="s">
        <v>1084</v>
      </c>
      <c r="B338" s="98" t="s">
        <v>2437</v>
      </c>
      <c r="C338" s="143">
        <v>130</v>
      </c>
      <c r="D338" s="143">
        <v>7</v>
      </c>
      <c r="E338" s="143">
        <v>3263</v>
      </c>
      <c r="F338" s="62">
        <f>E338/$E$322</f>
        <v>5.8860742482357556E-3</v>
      </c>
      <c r="G338" s="143">
        <v>12250</v>
      </c>
      <c r="H338" s="27">
        <f t="shared" ref="H338" si="735">IF(OR(E338=G338,AND(E338="",G338=0),AND(E338=0,G338="")),0%,IF(OR(G338="",G338=0),100%,(E338-G338)/ABS(G338)))</f>
        <v>-0.73363265306122449</v>
      </c>
      <c r="I338" s="35">
        <f t="shared" ref="I338" si="736">IF(OR(D338=0,D338=""),0,E338/D338)</f>
        <v>466.14285714285717</v>
      </c>
      <c r="J338" s="70">
        <f t="shared" ref="J338" si="737">E338/C338</f>
        <v>25.1</v>
      </c>
      <c r="K338" s="292"/>
    </row>
    <row r="339" spans="1:11" s="11" customFormat="1" ht="14.25" customHeight="1" x14ac:dyDescent="0.15">
      <c r="A339" s="123" t="s">
        <v>1745</v>
      </c>
      <c r="B339" s="98" t="s">
        <v>2181</v>
      </c>
      <c r="C339" s="143">
        <v>130</v>
      </c>
      <c r="D339" s="143">
        <v>18</v>
      </c>
      <c r="E339" s="143">
        <v>8127</v>
      </c>
      <c r="F339" s="62">
        <f>E339/$E$322</f>
        <v>1.4660167151520681E-2</v>
      </c>
      <c r="G339" s="143">
        <v>5256</v>
      </c>
      <c r="H339" s="27">
        <f t="shared" ref="H339" si="738">IF(OR(E339=G339,AND(E339="",G339=0),AND(E339=0,G339="")),0%,IF(OR(G339="",G339=0),100%,(E339-G339)/ABS(G339)))</f>
        <v>0.54623287671232879</v>
      </c>
      <c r="I339" s="35">
        <f t="shared" ref="I339" si="739">IF(OR(D339=0,D339=""),0,E339/D339)</f>
        <v>451.5</v>
      </c>
      <c r="J339" s="70">
        <f t="shared" ref="J339" si="740">E339/C339</f>
        <v>62.515384615384619</v>
      </c>
      <c r="K339" s="292"/>
    </row>
    <row r="340" spans="1:11" s="11" customFormat="1" ht="14.25" customHeight="1" x14ac:dyDescent="0.15">
      <c r="A340" s="123" t="s">
        <v>1130</v>
      </c>
      <c r="B340" s="98" t="s">
        <v>2182</v>
      </c>
      <c r="C340" s="143">
        <v>185</v>
      </c>
      <c r="D340" s="143">
        <v>71</v>
      </c>
      <c r="E340" s="143">
        <v>6355</v>
      </c>
      <c r="F340" s="62">
        <f t="shared" ref="F340" si="741">E340/$E$322</f>
        <v>1.1463684292840401E-2</v>
      </c>
      <c r="G340" s="143">
        <v>9125.5</v>
      </c>
      <c r="H340" s="27">
        <f t="shared" ref="H340" si="742">IF(OR(E340=G340,AND(E340="",G340=0),AND(E340=0,G340="")),0%,IF(OR(G340="",G340=0),100%,(E340-G340)/ABS(G340)))</f>
        <v>-0.30359980275053422</v>
      </c>
      <c r="I340" s="35">
        <f t="shared" ref="I340" si="743">IF(OR(D340=0,D340=""),0,E340/D340)</f>
        <v>89.507042253521121</v>
      </c>
      <c r="J340" s="70">
        <f t="shared" ref="J340" si="744">E340/C340</f>
        <v>34.351351351351354</v>
      </c>
      <c r="K340" s="292"/>
    </row>
    <row r="341" spans="1:11" s="11" customFormat="1" ht="14.25" customHeight="1" x14ac:dyDescent="0.15">
      <c r="A341" s="123" t="s">
        <v>1703</v>
      </c>
      <c r="B341" s="98" t="s">
        <v>2183</v>
      </c>
      <c r="C341" s="143">
        <v>220</v>
      </c>
      <c r="D341" s="143">
        <v>9</v>
      </c>
      <c r="E341" s="143">
        <v>9088.7999999999993</v>
      </c>
      <c r="F341" s="62">
        <f t="shared" ref="F341" si="745">E341/$E$322</f>
        <v>1.6395143005628297E-2</v>
      </c>
      <c r="G341" s="143">
        <v>12549.6</v>
      </c>
      <c r="H341" s="27">
        <f t="shared" ref="H341" si="746">IF(OR(E341=G341,AND(E341="",G341=0),AND(E341=0,G341="")),0%,IF(OR(G341="",G341=0),100%,(E341-G341)/ABS(G341)))</f>
        <v>-0.27576974564926382</v>
      </c>
      <c r="I341" s="35">
        <f t="shared" ref="I341" si="747">IF(OR(D341=0,D341=""),0,E341/D341)</f>
        <v>1009.8666666666666</v>
      </c>
      <c r="J341" s="70">
        <f t="shared" ref="J341" si="748">E341/C341</f>
        <v>41.312727272727273</v>
      </c>
      <c r="K341" s="292"/>
    </row>
    <row r="342" spans="1:11" s="11" customFormat="1" ht="14.25" customHeight="1" x14ac:dyDescent="0.15">
      <c r="A342" s="123" t="s">
        <v>129</v>
      </c>
      <c r="B342" s="98" t="s">
        <v>2438</v>
      </c>
      <c r="C342" s="143">
        <v>416.35</v>
      </c>
      <c r="D342" s="143"/>
      <c r="E342" s="143"/>
      <c r="F342" s="62">
        <f t="shared" ref="F342:F347" si="749">E342/$E$322</f>
        <v>0</v>
      </c>
      <c r="G342" s="143">
        <v>22884</v>
      </c>
      <c r="H342" s="27">
        <f t="shared" si="682"/>
        <v>-1</v>
      </c>
      <c r="I342" s="35">
        <f t="shared" si="706"/>
        <v>0</v>
      </c>
      <c r="J342" s="70">
        <f t="shared" si="707"/>
        <v>0</v>
      </c>
      <c r="K342" s="292"/>
    </row>
    <row r="343" spans="1:11" s="11" customFormat="1" ht="14.25" customHeight="1" x14ac:dyDescent="0.15">
      <c r="A343" s="123" t="s">
        <v>130</v>
      </c>
      <c r="B343" s="98" t="s">
        <v>2184</v>
      </c>
      <c r="C343" s="143">
        <v>395.72</v>
      </c>
      <c r="D343" s="143"/>
      <c r="E343" s="143"/>
      <c r="F343" s="62">
        <f t="shared" si="749"/>
        <v>0</v>
      </c>
      <c r="G343" s="143">
        <v>42660</v>
      </c>
      <c r="H343" s="27">
        <f t="shared" si="682"/>
        <v>-1</v>
      </c>
      <c r="I343" s="35">
        <f t="shared" si="706"/>
        <v>0</v>
      </c>
      <c r="J343" s="70">
        <f t="shared" si="707"/>
        <v>0</v>
      </c>
      <c r="K343" s="292"/>
    </row>
    <row r="344" spans="1:11" s="11" customFormat="1" ht="14.25" customHeight="1" x14ac:dyDescent="0.15">
      <c r="A344" s="123" t="s">
        <v>1057</v>
      </c>
      <c r="B344" s="98" t="s">
        <v>2185</v>
      </c>
      <c r="C344" s="143">
        <v>110</v>
      </c>
      <c r="D344" s="143">
        <v>3</v>
      </c>
      <c r="E344" s="143">
        <v>1290</v>
      </c>
      <c r="F344" s="62">
        <f t="shared" si="749"/>
        <v>2.3270106589715366E-3</v>
      </c>
      <c r="G344" s="143">
        <v>10940</v>
      </c>
      <c r="H344" s="27">
        <f t="shared" ref="H344" si="750">IF(OR(E344=G344,AND(E344="",G344=0),AND(E344=0,G344="")),0%,IF(OR(G344="",G344=0),100%,(E344-G344)/ABS(G344)))</f>
        <v>-0.88208409506398533</v>
      </c>
      <c r="I344" s="35">
        <f t="shared" ref="I344" si="751">IF(OR(D344=0,D344=""),0,E344/D344)</f>
        <v>430</v>
      </c>
      <c r="J344" s="70">
        <f t="shared" ref="J344" si="752">E344/C344</f>
        <v>11.727272727272727</v>
      </c>
      <c r="K344" s="292"/>
    </row>
    <row r="345" spans="1:11" s="11" customFormat="1" ht="14.25" customHeight="1" x14ac:dyDescent="0.15">
      <c r="A345" s="123" t="s">
        <v>1049</v>
      </c>
      <c r="B345" s="98" t="s">
        <v>2186</v>
      </c>
      <c r="C345" s="143">
        <v>70</v>
      </c>
      <c r="D345" s="143">
        <v>7</v>
      </c>
      <c r="E345" s="143">
        <v>7593</v>
      </c>
      <c r="F345" s="62">
        <f t="shared" si="749"/>
        <v>1.3696892971760372E-2</v>
      </c>
      <c r="G345" s="143">
        <v>11161</v>
      </c>
      <c r="H345" s="27">
        <f t="shared" ref="H345" si="753">IF(OR(E345=G345,AND(E345="",G345=0),AND(E345=0,G345="")),0%,IF(OR(G345="",G345=0),100%,(E345-G345)/ABS(G345)))</f>
        <v>-0.31968461607382853</v>
      </c>
      <c r="I345" s="35">
        <f t="shared" ref="I345" si="754">IF(OR(D345=0,D345=""),0,E345/D345)</f>
        <v>1084.7142857142858</v>
      </c>
      <c r="J345" s="70">
        <f t="shared" ref="J345" si="755">E345/C345</f>
        <v>108.47142857142858</v>
      </c>
      <c r="K345" s="292"/>
    </row>
    <row r="346" spans="1:11" s="11" customFormat="1" ht="14.25" customHeight="1" x14ac:dyDescent="0.15">
      <c r="A346" s="118" t="s">
        <v>131</v>
      </c>
      <c r="B346" s="98" t="s">
        <v>2187</v>
      </c>
      <c r="C346" s="143">
        <v>75.12</v>
      </c>
      <c r="D346" s="143">
        <v>5</v>
      </c>
      <c r="E346" s="143">
        <v>4989</v>
      </c>
      <c r="F346" s="62">
        <f t="shared" si="749"/>
        <v>8.9995784322550367E-3</v>
      </c>
      <c r="G346" s="143">
        <v>5470</v>
      </c>
      <c r="H346" s="27">
        <f t="shared" si="682"/>
        <v>-8.7934186471663622E-2</v>
      </c>
      <c r="I346" s="35">
        <f t="shared" si="706"/>
        <v>997.8</v>
      </c>
      <c r="J346" s="70">
        <f t="shared" si="707"/>
        <v>66.41373801916933</v>
      </c>
      <c r="K346" s="292"/>
    </row>
    <row r="347" spans="1:11" s="11" customFormat="1" ht="14.25" customHeight="1" x14ac:dyDescent="0.15">
      <c r="A347" s="118" t="s">
        <v>933</v>
      </c>
      <c r="B347" s="98" t="s">
        <v>2188</v>
      </c>
      <c r="C347" s="143">
        <v>181.28</v>
      </c>
      <c r="D347" s="143">
        <v>6</v>
      </c>
      <c r="E347" s="143">
        <v>3684</v>
      </c>
      <c r="F347" s="62">
        <f t="shared" si="749"/>
        <v>6.6455095098070863E-3</v>
      </c>
      <c r="G347" s="143">
        <v>4783</v>
      </c>
      <c r="H347" s="27">
        <f t="shared" ref="H347" si="756">IF(OR(E347=G347,AND(E347="",G347=0),AND(E347=0,G347="")),0%,IF(OR(G347="",G347=0),100%,(E347-G347)/ABS(G347)))</f>
        <v>-0.22977210955467281</v>
      </c>
      <c r="I347" s="35">
        <f t="shared" ref="I347" si="757">IF(OR(D347=0,D347=""),0,E347/D347)</f>
        <v>614</v>
      </c>
      <c r="J347" s="70">
        <f t="shared" ref="J347" si="758">E347/C347</f>
        <v>20.32215357458076</v>
      </c>
      <c r="K347" s="292"/>
    </row>
    <row r="348" spans="1:11" s="11" customFormat="1" ht="14.25" customHeight="1" x14ac:dyDescent="0.15">
      <c r="A348" s="118" t="s">
        <v>306</v>
      </c>
      <c r="B348" s="98" t="s">
        <v>2189</v>
      </c>
      <c r="C348" s="143">
        <v>220</v>
      </c>
      <c r="D348" s="143">
        <v>115</v>
      </c>
      <c r="E348" s="143">
        <v>16814.5</v>
      </c>
      <c r="F348" s="62">
        <f t="shared" ref="F348" si="759">E348/$E$322</f>
        <v>3.0331411414943339E-2</v>
      </c>
      <c r="G348" s="143">
        <v>13476.2</v>
      </c>
      <c r="H348" s="27">
        <f t="shared" si="682"/>
        <v>0.24771819949243845</v>
      </c>
      <c r="I348" s="35">
        <f t="shared" si="706"/>
        <v>146.21304347826086</v>
      </c>
      <c r="J348" s="70">
        <f t="shared" si="707"/>
        <v>76.429545454545448</v>
      </c>
      <c r="K348" s="292"/>
    </row>
    <row r="349" spans="1:11" s="11" customFormat="1" ht="14.25" customHeight="1" x14ac:dyDescent="0.15">
      <c r="A349" s="118" t="s">
        <v>1723</v>
      </c>
      <c r="B349" s="98" t="s">
        <v>2190</v>
      </c>
      <c r="C349" s="143">
        <v>182</v>
      </c>
      <c r="D349" s="143">
        <v>65</v>
      </c>
      <c r="E349" s="143">
        <v>21617</v>
      </c>
      <c r="F349" s="62">
        <f t="shared" ref="F349" si="760">E349/$E$322</f>
        <v>3.8994565437974971E-2</v>
      </c>
      <c r="G349" s="143">
        <v>20695</v>
      </c>
      <c r="H349" s="27">
        <f t="shared" ref="H349" si="761">IF(OR(E349=G349,AND(E349="",G349=0),AND(E349=0,G349="")),0%,IF(OR(G349="",G349=0),100%,(E349-G349)/ABS(G349)))</f>
        <v>4.4551824112104371E-2</v>
      </c>
      <c r="I349" s="35">
        <f t="shared" ref="I349" si="762">IF(OR(D349=0,D349=""),0,E349/D349)</f>
        <v>332.56923076923078</v>
      </c>
      <c r="J349" s="70">
        <f t="shared" ref="J349" si="763">E349/C349</f>
        <v>118.77472527472527</v>
      </c>
      <c r="K349" s="292"/>
    </row>
    <row r="350" spans="1:11" s="11" customFormat="1" ht="14.25" customHeight="1" x14ac:dyDescent="0.15">
      <c r="A350" s="118" t="s">
        <v>132</v>
      </c>
      <c r="B350" s="98" t="s">
        <v>2439</v>
      </c>
      <c r="C350" s="143">
        <v>70.900000000000006</v>
      </c>
      <c r="D350" s="143">
        <v>11</v>
      </c>
      <c r="E350" s="143">
        <v>4993</v>
      </c>
      <c r="F350" s="62">
        <f>E350/$E$322</f>
        <v>9.0067939691820809E-3</v>
      </c>
      <c r="G350" s="143">
        <v>4038</v>
      </c>
      <c r="H350" s="27">
        <f t="shared" si="682"/>
        <v>0.23650321941555225</v>
      </c>
      <c r="I350" s="35">
        <f t="shared" si="706"/>
        <v>453.90909090909093</v>
      </c>
      <c r="J350" s="70">
        <f t="shared" si="707"/>
        <v>70.423131170662899</v>
      </c>
      <c r="K350" s="292"/>
    </row>
    <row r="351" spans="1:11" s="11" customFormat="1" ht="14.25" customHeight="1" x14ac:dyDescent="0.15">
      <c r="A351" s="118" t="s">
        <v>847</v>
      </c>
      <c r="B351" s="98" t="s">
        <v>2440</v>
      </c>
      <c r="C351" s="143">
        <v>55.64</v>
      </c>
      <c r="D351" s="143">
        <v>11</v>
      </c>
      <c r="E351" s="143">
        <v>4536</v>
      </c>
      <c r="F351" s="62">
        <f>E351/$E$322</f>
        <v>8.1824188752673572E-3</v>
      </c>
      <c r="G351" s="143">
        <v>3501</v>
      </c>
      <c r="H351" s="27">
        <f t="shared" ref="H351" si="764">IF(OR(E351=G351,AND(E351="",G351=0),AND(E351=0,G351="")),0%,IF(OR(G351="",G351=0),100%,(E351-G351)/ABS(G351)))</f>
        <v>0.29562982005141386</v>
      </c>
      <c r="I351" s="35">
        <f t="shared" ref="I351" si="765">IF(OR(D351=0,D351=""),0,E351/D351)</f>
        <v>412.36363636363637</v>
      </c>
      <c r="J351" s="70">
        <f t="shared" ref="J351" si="766">E351/C351</f>
        <v>81.524083393242265</v>
      </c>
      <c r="K351" s="292"/>
    </row>
    <row r="352" spans="1:11" s="11" customFormat="1" ht="14.25" customHeight="1" x14ac:dyDescent="0.15">
      <c r="A352" s="118" t="s">
        <v>1714</v>
      </c>
      <c r="B352" s="189" t="s">
        <v>2191</v>
      </c>
      <c r="C352" s="143">
        <v>46.55</v>
      </c>
      <c r="D352" s="143">
        <v>1</v>
      </c>
      <c r="E352" s="143">
        <v>258</v>
      </c>
      <c r="F352" s="62">
        <f>E352/$E$322</f>
        <v>4.6540213179430736E-4</v>
      </c>
      <c r="G352" s="143">
        <v>1877</v>
      </c>
      <c r="H352" s="27">
        <f t="shared" si="682"/>
        <v>-0.86254661694192858</v>
      </c>
      <c r="I352" s="35">
        <f t="shared" si="706"/>
        <v>258</v>
      </c>
      <c r="J352" s="70">
        <f t="shared" si="707"/>
        <v>5.5424274973147156</v>
      </c>
      <c r="K352" s="292"/>
    </row>
    <row r="353" spans="1:11" s="11" customFormat="1" ht="14.25" customHeight="1" x14ac:dyDescent="0.15">
      <c r="A353" s="118" t="s">
        <v>297</v>
      </c>
      <c r="B353" s="189" t="s">
        <v>2192</v>
      </c>
      <c r="C353" s="143">
        <v>75.430000000000007</v>
      </c>
      <c r="D353" s="143">
        <v>3</v>
      </c>
      <c r="E353" s="143">
        <v>3815</v>
      </c>
      <c r="F353" s="62">
        <f t="shared" ref="F353" si="767">E353/$E$322</f>
        <v>6.8818183441677625E-3</v>
      </c>
      <c r="G353" s="143">
        <v>5798</v>
      </c>
      <c r="H353" s="27">
        <f t="shared" ref="H353" si="768">IF(OR(E353=G353,AND(E353="",G353=0),AND(E353=0,G353="")),0%,IF(OR(G353="",G353=0),100%,(E353-G353)/ABS(G353)))</f>
        <v>-0.34201448775439808</v>
      </c>
      <c r="I353" s="35">
        <f t="shared" si="706"/>
        <v>1271.6666666666667</v>
      </c>
      <c r="J353" s="70">
        <f t="shared" si="707"/>
        <v>50.576693623226831</v>
      </c>
      <c r="K353" s="292"/>
    </row>
    <row r="354" spans="1:11" s="11" customFormat="1" ht="14.25" customHeight="1" x14ac:dyDescent="0.15">
      <c r="A354" s="118" t="s">
        <v>885</v>
      </c>
      <c r="B354" s="189" t="s">
        <v>2193</v>
      </c>
      <c r="C354" s="143">
        <v>48.5</v>
      </c>
      <c r="D354" s="143">
        <v>47</v>
      </c>
      <c r="E354" s="143">
        <v>9136</v>
      </c>
      <c r="F354" s="62">
        <f t="shared" ref="F354" si="769">E354/$E$322</f>
        <v>1.648028634136741E-2</v>
      </c>
      <c r="G354" s="143">
        <v>6111</v>
      </c>
      <c r="H354" s="27">
        <f t="shared" ref="H354" si="770">IF(OR(E354=G354,AND(E354="",G354=0),AND(E354=0,G354="")),0%,IF(OR(G354="",G354=0),100%,(E354-G354)/ABS(G354)))</f>
        <v>0.49500900016363936</v>
      </c>
      <c r="I354" s="35">
        <f t="shared" ref="I354" si="771">IF(OR(D354=0,D354=""),0,E354/D354)</f>
        <v>194.38297872340425</v>
      </c>
      <c r="J354" s="70">
        <f t="shared" ref="J354" si="772">E354/C354</f>
        <v>188.37113402061857</v>
      </c>
      <c r="K354" s="292"/>
    </row>
    <row r="355" spans="1:11" s="11" customFormat="1" ht="14.25" customHeight="1" x14ac:dyDescent="0.15">
      <c r="A355" s="118" t="s">
        <v>1138</v>
      </c>
      <c r="B355" s="98" t="s">
        <v>2194</v>
      </c>
      <c r="C355" s="143">
        <v>60</v>
      </c>
      <c r="D355" s="143">
        <v>4</v>
      </c>
      <c r="E355" s="143">
        <v>3720</v>
      </c>
      <c r="F355" s="62">
        <f t="shared" ref="F355" si="773">E355/$E$322</f>
        <v>6.7104493421504784E-3</v>
      </c>
      <c r="G355" s="143">
        <v>5746</v>
      </c>
      <c r="H355" s="27">
        <f t="shared" ref="H355" si="774">IF(OR(E355=G355,AND(E355="",G355=0),AND(E355=0,G355="")),0%,IF(OR(G355="",G355=0),100%,(E355-G355)/ABS(G355)))</f>
        <v>-0.35259310824921686</v>
      </c>
      <c r="I355" s="35">
        <f t="shared" ref="I355" si="775">IF(OR(D355=0,D355=""),0,E355/D355)</f>
        <v>930</v>
      </c>
      <c r="J355" s="70">
        <f t="shared" ref="J355" si="776">E355/C355</f>
        <v>62</v>
      </c>
      <c r="K355" s="292"/>
    </row>
    <row r="356" spans="1:11" s="11" customFormat="1" ht="14.25" customHeight="1" x14ac:dyDescent="0.15">
      <c r="A356" s="118" t="s">
        <v>1735</v>
      </c>
      <c r="B356" s="98" t="s">
        <v>2195</v>
      </c>
      <c r="C356" s="143">
        <v>67.13</v>
      </c>
      <c r="D356" s="143">
        <v>6</v>
      </c>
      <c r="E356" s="143">
        <v>5200</v>
      </c>
      <c r="F356" s="62">
        <f t="shared" ref="F356" si="777">E356/$E$322</f>
        <v>9.3801980051565828E-3</v>
      </c>
      <c r="G356" s="143">
        <v>5290</v>
      </c>
      <c r="H356" s="27">
        <f t="shared" ref="H356" si="778">IF(OR(E356=G356,AND(E356="",G356=0),AND(E356=0,G356="")),0%,IF(OR(G356="",G356=0),100%,(E356-G356)/ABS(G356)))</f>
        <v>-1.7013232514177693E-2</v>
      </c>
      <c r="I356" s="35">
        <f t="shared" ref="I356" si="779">IF(OR(D356=0,D356=""),0,E356/D356)</f>
        <v>866.66666666666663</v>
      </c>
      <c r="J356" s="70">
        <f t="shared" ref="J356" si="780">E356/C356</f>
        <v>77.461641590942946</v>
      </c>
      <c r="K356" s="292"/>
    </row>
    <row r="357" spans="1:11" s="11" customFormat="1" ht="14.25" customHeight="1" x14ac:dyDescent="0.15">
      <c r="A357" s="118" t="s">
        <v>1695</v>
      </c>
      <c r="B357" s="98" t="s">
        <v>2196</v>
      </c>
      <c r="C357" s="143">
        <v>60</v>
      </c>
      <c r="D357" s="143">
        <v>61</v>
      </c>
      <c r="E357" s="143">
        <v>7123</v>
      </c>
      <c r="F357" s="62">
        <f t="shared" ref="F357" si="781">E357/$E$322</f>
        <v>1.2849067382832757E-2</v>
      </c>
      <c r="G357" s="143">
        <v>6262</v>
      </c>
      <c r="H357" s="27">
        <f t="shared" ref="H357" si="782">IF(OR(E357=G357,AND(E357="",G357=0),AND(E357=0,G357="")),0%,IF(OR(G357="",G357=0),100%,(E357-G357)/ABS(G357)))</f>
        <v>0.13749600766528267</v>
      </c>
      <c r="I357" s="35">
        <f t="shared" ref="I357" si="783">IF(OR(D357=0,D357=""),0,E357/D357)</f>
        <v>116.77049180327869</v>
      </c>
      <c r="J357" s="70">
        <f t="shared" ref="J357" si="784">E357/C357</f>
        <v>118.71666666666667</v>
      </c>
      <c r="K357" s="292"/>
    </row>
    <row r="358" spans="1:11" s="11" customFormat="1" ht="14.25" customHeight="1" x14ac:dyDescent="0.15">
      <c r="A358" s="118" t="s">
        <v>1743</v>
      </c>
      <c r="B358" s="98" t="s">
        <v>2197</v>
      </c>
      <c r="C358" s="143">
        <v>30</v>
      </c>
      <c r="D358" s="143">
        <v>6</v>
      </c>
      <c r="E358" s="143">
        <v>2536</v>
      </c>
      <c r="F358" s="62">
        <f t="shared" ref="F358" si="785">E358/$E$322</f>
        <v>4.5746504117455946E-3</v>
      </c>
      <c r="G358" s="143">
        <v>1193</v>
      </c>
      <c r="H358" s="27">
        <f t="shared" ref="H358" si="786">IF(OR(E358=G358,AND(E358="",G358=0),AND(E358=0,G358="")),0%,IF(OR(G358="",G358=0),100%,(E358-G358)/ABS(G358)))</f>
        <v>1.1257334450963956</v>
      </c>
      <c r="I358" s="35">
        <f t="shared" ref="I358" si="787">IF(OR(D358=0,D358=""),0,E358/D358)</f>
        <v>422.66666666666669</v>
      </c>
      <c r="J358" s="70">
        <f t="shared" ref="J358" si="788">E358/C358</f>
        <v>84.533333333333331</v>
      </c>
      <c r="K358" s="292"/>
    </row>
    <row r="359" spans="1:11" s="11" customFormat="1" ht="14.25" customHeight="1" x14ac:dyDescent="0.15">
      <c r="A359" s="118" t="s">
        <v>1717</v>
      </c>
      <c r="B359" s="98" t="s">
        <v>2198</v>
      </c>
      <c r="C359" s="143">
        <v>115</v>
      </c>
      <c r="D359" s="143">
        <v>20</v>
      </c>
      <c r="E359" s="143">
        <v>16642</v>
      </c>
      <c r="F359" s="62">
        <f t="shared" ref="F359" si="789">E359/$E$322</f>
        <v>3.0020241384964588E-2</v>
      </c>
      <c r="G359" s="143">
        <v>9617</v>
      </c>
      <c r="H359" s="27">
        <f t="shared" ref="H359" si="790">IF(OR(E359=G359,AND(E359="",G359=0),AND(E359=0,G359="")),0%,IF(OR(G359="",G359=0),100%,(E359-G359)/ABS(G359)))</f>
        <v>0.73047727981699073</v>
      </c>
      <c r="I359" s="35">
        <f t="shared" ref="I359" si="791">IF(OR(D359=0,D359=""),0,E359/D359)</f>
        <v>832.1</v>
      </c>
      <c r="J359" s="70">
        <f t="shared" ref="J359" si="792">E359/C359</f>
        <v>144.71304347826086</v>
      </c>
      <c r="K359" s="292"/>
    </row>
    <row r="360" spans="1:11" s="11" customFormat="1" ht="14.25" customHeight="1" x14ac:dyDescent="0.15">
      <c r="A360" s="118" t="s">
        <v>798</v>
      </c>
      <c r="B360" s="98" t="s">
        <v>2199</v>
      </c>
      <c r="C360" s="143">
        <v>55.43</v>
      </c>
      <c r="D360" s="143">
        <v>14</v>
      </c>
      <c r="E360" s="143">
        <v>6373.4</v>
      </c>
      <c r="F360" s="62">
        <f t="shared" ref="F360" si="793">E360/$E$322</f>
        <v>1.1496875762704801E-2</v>
      </c>
      <c r="G360" s="143">
        <v>4434.2</v>
      </c>
      <c r="H360" s="27">
        <f t="shared" ref="H360" si="794">IF(OR(E360=G360,AND(E360="",G360=0),AND(E360=0,G360="")),0%,IF(OR(G360="",G360=0),100%,(E360-G360)/ABS(G360)))</f>
        <v>0.43732804113481571</v>
      </c>
      <c r="I360" s="35">
        <f t="shared" ref="I360" si="795">IF(OR(D360=0,D360=""),0,E360/D360)</f>
        <v>455.24285714285713</v>
      </c>
      <c r="J360" s="70">
        <f t="shared" ref="J360" si="796">E360/C360</f>
        <v>114.98105718924769</v>
      </c>
      <c r="K360" s="292"/>
    </row>
    <row r="361" spans="1:11" s="11" customFormat="1" ht="14.25" customHeight="1" x14ac:dyDescent="0.15">
      <c r="A361" s="118" t="s">
        <v>1678</v>
      </c>
      <c r="B361" s="98" t="s">
        <v>2200</v>
      </c>
      <c r="C361" s="143">
        <v>111.6</v>
      </c>
      <c r="D361" s="143">
        <v>2</v>
      </c>
      <c r="E361" s="143">
        <v>1049</v>
      </c>
      <c r="F361" s="62">
        <f t="shared" ref="F361" si="797">E361/$E$322</f>
        <v>1.8922745591171645E-3</v>
      </c>
      <c r="G361" s="143">
        <v>400</v>
      </c>
      <c r="H361" s="27">
        <f t="shared" ref="H361" si="798">IF(OR(E361=G361,AND(E361="",G361=0),AND(E361=0,G361="")),0%,IF(OR(G361="",G361=0),100%,(E361-G361)/ABS(G361)))</f>
        <v>1.6225000000000001</v>
      </c>
      <c r="I361" s="35">
        <f t="shared" ref="I361" si="799">IF(OR(D361=0,D361=""),0,E361/D361)</f>
        <v>524.5</v>
      </c>
      <c r="J361" s="70">
        <f t="shared" ref="J361" si="800">E361/C361</f>
        <v>9.3996415770609332</v>
      </c>
      <c r="K361" s="292"/>
    </row>
    <row r="362" spans="1:11" s="11" customFormat="1" ht="14.25" customHeight="1" x14ac:dyDescent="0.15">
      <c r="A362" s="118" t="s">
        <v>1639</v>
      </c>
      <c r="B362" s="98" t="s">
        <v>2201</v>
      </c>
      <c r="C362" s="143">
        <v>58.46</v>
      </c>
      <c r="D362" s="143">
        <v>26</v>
      </c>
      <c r="E362" s="143">
        <v>5238</v>
      </c>
      <c r="F362" s="62">
        <f t="shared" ref="F362" si="801">E362/$E$322</f>
        <v>9.4487456059634961E-3</v>
      </c>
      <c r="G362" s="143">
        <v>1070</v>
      </c>
      <c r="H362" s="27">
        <f t="shared" ref="H362" si="802">IF(OR(E362=G362,AND(E362="",G362=0),AND(E362=0,G362="")),0%,IF(OR(G362="",G362=0),100%,(E362-G362)/ABS(G362)))</f>
        <v>3.8953271028037384</v>
      </c>
      <c r="I362" s="35">
        <f t="shared" ref="I362" si="803">IF(OR(D362=0,D362=""),0,E362/D362)</f>
        <v>201.46153846153845</v>
      </c>
      <c r="J362" s="70">
        <f t="shared" ref="J362" si="804">E362/C362</f>
        <v>89.599726308587066</v>
      </c>
      <c r="K362" s="292"/>
    </row>
    <row r="363" spans="1:11" s="11" customFormat="1" ht="14.25" customHeight="1" x14ac:dyDescent="0.15">
      <c r="A363" s="118" t="s">
        <v>539</v>
      </c>
      <c r="B363" s="98" t="s">
        <v>2202</v>
      </c>
      <c r="C363" s="143">
        <v>44.16</v>
      </c>
      <c r="D363" s="143">
        <v>10</v>
      </c>
      <c r="E363" s="143">
        <v>2866</v>
      </c>
      <c r="F363" s="62">
        <f t="shared" ref="F363" si="805">E363/$E$322</f>
        <v>5.1699322082266854E-3</v>
      </c>
      <c r="G363" s="143">
        <v>6057</v>
      </c>
      <c r="H363" s="27">
        <f t="shared" ref="H363" si="806">IF(OR(E363=G363,AND(E363="",G363=0),AND(E363=0,G363="")),0%,IF(OR(G363="",G363=0),100%,(E363-G363)/ABS(G363)))</f>
        <v>-0.52682846293544661</v>
      </c>
      <c r="I363" s="35">
        <f t="shared" ref="I363" si="807">IF(OR(D363=0,D363=""),0,E363/D363)</f>
        <v>286.60000000000002</v>
      </c>
      <c r="J363" s="70">
        <f t="shared" ref="J363" si="808">E363/C363</f>
        <v>64.900362318840578</v>
      </c>
      <c r="K363" s="292"/>
    </row>
    <row r="364" spans="1:11" s="11" customFormat="1" ht="14.25" customHeight="1" x14ac:dyDescent="0.15">
      <c r="A364" s="118" t="s">
        <v>257</v>
      </c>
      <c r="B364" s="98" t="s">
        <v>2441</v>
      </c>
      <c r="C364" s="143">
        <v>89.88</v>
      </c>
      <c r="D364" s="143">
        <v>6</v>
      </c>
      <c r="E364" s="143">
        <v>1270</v>
      </c>
      <c r="F364" s="62">
        <f t="shared" ref="F364" si="809">E364/$E$322</f>
        <v>2.2909329743363194E-3</v>
      </c>
      <c r="G364" s="143">
        <v>4907</v>
      </c>
      <c r="H364" s="27">
        <f t="shared" ref="H364:H365" si="810">IF(OR(E364=G364,AND(E364="",G364=0),AND(E364=0,G364="")),0%,IF(OR(G364="",G364=0),100%,(E364-G364)/ABS(G364)))</f>
        <v>-0.74118606072957005</v>
      </c>
      <c r="I364" s="35">
        <f t="shared" ref="I364:I365" si="811">IF(OR(D364=0,D364=""),0,E364/D364)</f>
        <v>211.66666666666666</v>
      </c>
      <c r="J364" s="70">
        <f t="shared" ref="J364:J365" si="812">E364/C364</f>
        <v>14.129951045838897</v>
      </c>
      <c r="K364" s="292"/>
    </row>
    <row r="365" spans="1:11" s="11" customFormat="1" ht="14.25" customHeight="1" x14ac:dyDescent="0.15">
      <c r="A365" s="118" t="s">
        <v>775</v>
      </c>
      <c r="B365" s="98" t="s">
        <v>2203</v>
      </c>
      <c r="C365" s="143">
        <v>67.489999999999995</v>
      </c>
      <c r="D365" s="143">
        <v>5</v>
      </c>
      <c r="E365" s="143">
        <v>7338</v>
      </c>
      <c r="F365" s="62">
        <f>E365/$E$322</f>
        <v>1.3236902492661348E-2</v>
      </c>
      <c r="G365" s="143">
        <v>7433</v>
      </c>
      <c r="H365" s="27">
        <f t="shared" si="810"/>
        <v>-1.2780842190232745E-2</v>
      </c>
      <c r="I365" s="35">
        <f t="shared" si="811"/>
        <v>1467.6</v>
      </c>
      <c r="J365" s="70">
        <f t="shared" si="812"/>
        <v>108.72721884723664</v>
      </c>
      <c r="K365" s="292"/>
    </row>
    <row r="366" spans="1:11" s="11" customFormat="1" ht="14.25" customHeight="1" x14ac:dyDescent="0.15">
      <c r="A366" s="118" t="s">
        <v>654</v>
      </c>
      <c r="B366" s="98" t="s">
        <v>2204</v>
      </c>
      <c r="C366" s="143">
        <v>120.69</v>
      </c>
      <c r="D366" s="143">
        <v>10</v>
      </c>
      <c r="E366" s="143">
        <v>4934.8999999999996</v>
      </c>
      <c r="F366" s="62">
        <f>E366/$E$322</f>
        <v>8.9019882953167723E-3</v>
      </c>
      <c r="G366" s="143">
        <v>3128.6</v>
      </c>
      <c r="H366" s="27">
        <f t="shared" ref="H366" si="813">IF(OR(E366=G366,AND(E366="",G366=0),AND(E366=0,G366="")),0%,IF(OR(G366="",G366=0),100%,(E366-G366)/ABS(G366)))</f>
        <v>0.57735089177267784</v>
      </c>
      <c r="I366" s="35">
        <f t="shared" ref="I366" si="814">IF(OR(D366=0,D366=""),0,E366/D366)</f>
        <v>493.48999999999995</v>
      </c>
      <c r="J366" s="70">
        <f t="shared" ref="J366" si="815">E366/C366</f>
        <v>40.88905460270113</v>
      </c>
      <c r="K366" s="292"/>
    </row>
    <row r="367" spans="1:11" s="11" customFormat="1" ht="14.25" customHeight="1" x14ac:dyDescent="0.15">
      <c r="A367" s="118" t="s">
        <v>382</v>
      </c>
      <c r="B367" s="98" t="s">
        <v>2205</v>
      </c>
      <c r="C367" s="143">
        <v>100</v>
      </c>
      <c r="D367" s="143">
        <v>22</v>
      </c>
      <c r="E367" s="143">
        <v>19642</v>
      </c>
      <c r="F367" s="62">
        <f t="shared" ref="F367" si="816">E367/$E$322</f>
        <v>3.5431894080247231E-2</v>
      </c>
      <c r="G367" s="143">
        <v>11223</v>
      </c>
      <c r="H367" s="27">
        <f t="shared" ref="H367" si="817">IF(OR(E367=G367,AND(E367="",G367=0),AND(E367=0,G367="")),0%,IF(OR(G367="",G367=0),100%,(E367-G367)/ABS(G367)))</f>
        <v>0.75015592978704448</v>
      </c>
      <c r="I367" s="35">
        <f t="shared" ref="I367" si="818">IF(OR(D367=0,D367=""),0,E367/D367)</f>
        <v>892.81818181818187</v>
      </c>
      <c r="J367" s="70">
        <f t="shared" ref="J367" si="819">E367/C367</f>
        <v>196.42</v>
      </c>
      <c r="K367" s="292"/>
    </row>
    <row r="368" spans="1:11" s="11" customFormat="1" ht="14.25" customHeight="1" x14ac:dyDescent="0.15">
      <c r="A368" s="118" t="s">
        <v>383</v>
      </c>
      <c r="B368" s="98" t="s">
        <v>2442</v>
      </c>
      <c r="C368" s="143">
        <v>137</v>
      </c>
      <c r="D368" s="143">
        <v>6</v>
      </c>
      <c r="E368" s="143">
        <v>4951</v>
      </c>
      <c r="F368" s="62">
        <f t="shared" ref="F368" si="820">E368/$E$322</f>
        <v>8.9310308314481234E-3</v>
      </c>
      <c r="G368" s="143">
        <v>1007</v>
      </c>
      <c r="H368" s="27">
        <f t="shared" ref="H368" si="821">IF(OR(E368=G368,AND(E368="",G368=0),AND(E368=0,G368="")),0%,IF(OR(G368="",G368=0),100%,(E368-G368)/ABS(G368)))</f>
        <v>3.9165839126117179</v>
      </c>
      <c r="I368" s="35">
        <f t="shared" ref="I368" si="822">IF(OR(D368=0,D368=""),0,E368/D368)</f>
        <v>825.16666666666663</v>
      </c>
      <c r="J368" s="70">
        <f t="shared" ref="J368" si="823">E368/C368</f>
        <v>36.138686131386862</v>
      </c>
      <c r="K368" s="292"/>
    </row>
    <row r="369" spans="1:11" s="11" customFormat="1" ht="14.25" customHeight="1" x14ac:dyDescent="0.15">
      <c r="A369" s="118" t="s">
        <v>769</v>
      </c>
      <c r="B369" s="98" t="s">
        <v>2206</v>
      </c>
      <c r="C369" s="143">
        <v>123.03</v>
      </c>
      <c r="D369" s="143">
        <v>11</v>
      </c>
      <c r="E369" s="143">
        <v>15365</v>
      </c>
      <c r="F369" s="62">
        <f t="shared" ref="F369" si="824">E369/$E$322</f>
        <v>2.7716681221005939E-2</v>
      </c>
      <c r="G369" s="143">
        <v>16871</v>
      </c>
      <c r="H369" s="27">
        <f t="shared" ref="H369" si="825">IF(OR(E369=G369,AND(E369="",G369=0),AND(E369=0,G369="")),0%,IF(OR(G369="",G369=0),100%,(E369-G369)/ABS(G369)))</f>
        <v>-8.9265603698654494E-2</v>
      </c>
      <c r="I369" s="35">
        <f t="shared" ref="I369" si="826">IF(OR(D369=0,D369=""),0,E369/D369)</f>
        <v>1396.8181818181818</v>
      </c>
      <c r="J369" s="70">
        <f t="shared" ref="J369" si="827">E369/C369</f>
        <v>124.88823864098187</v>
      </c>
      <c r="K369" s="292"/>
    </row>
    <row r="370" spans="1:11" s="11" customFormat="1" ht="14.25" customHeight="1" x14ac:dyDescent="0.15">
      <c r="A370" s="118" t="s">
        <v>932</v>
      </c>
      <c r="B370" s="98" t="s">
        <v>2207</v>
      </c>
      <c r="C370" s="143">
        <v>90.09</v>
      </c>
      <c r="D370" s="143">
        <v>11</v>
      </c>
      <c r="E370" s="143">
        <v>8642</v>
      </c>
      <c r="F370" s="62">
        <f t="shared" ref="F370" si="828">E370/$E$322</f>
        <v>1.5589167530877536E-2</v>
      </c>
      <c r="G370" s="143">
        <v>7653</v>
      </c>
      <c r="H370" s="27">
        <f t="shared" ref="H370" si="829">IF(OR(E370=G370,AND(E370="",G370=0),AND(E370=0,G370="")),0%,IF(OR(G370="",G370=0),100%,(E370-G370)/ABS(G370)))</f>
        <v>0.12923036717627073</v>
      </c>
      <c r="I370" s="35">
        <f t="shared" ref="I370" si="830">IF(OR(D370=0,D370=""),0,E370/D370)</f>
        <v>785.63636363636363</v>
      </c>
      <c r="J370" s="70">
        <f t="shared" ref="J370" si="831">E370/C370</f>
        <v>95.926295926295921</v>
      </c>
      <c r="K370" s="292"/>
    </row>
    <row r="371" spans="1:11" s="11" customFormat="1" ht="14.25" customHeight="1" x14ac:dyDescent="0.15">
      <c r="A371" s="118" t="s">
        <v>339</v>
      </c>
      <c r="B371" s="98" t="s">
        <v>2208</v>
      </c>
      <c r="C371" s="143">
        <v>113</v>
      </c>
      <c r="D371" s="143">
        <v>28</v>
      </c>
      <c r="E371" s="143">
        <v>24688</v>
      </c>
      <c r="F371" s="62">
        <f>E371/$E$322</f>
        <v>4.4534293913712636E-2</v>
      </c>
      <c r="G371" s="143">
        <v>21521</v>
      </c>
      <c r="H371" s="27">
        <f t="shared" ref="H371:H383" si="832">IF(OR(E371=G371,AND(E371="",G371=0),AND(E371=0,G371="")),0%,IF(OR(G371="",G371=0),100%,(E371-G371)/ABS(G371)))</f>
        <v>0.14715858928488454</v>
      </c>
      <c r="I371" s="35">
        <f t="shared" ref="I371:I383" si="833">IF(OR(D371=0,D371=""),0,E371/D371)</f>
        <v>881.71428571428567</v>
      </c>
      <c r="J371" s="70">
        <f t="shared" ref="J371:J383" si="834">E371/C371</f>
        <v>218.47787610619469</v>
      </c>
      <c r="K371" s="292"/>
    </row>
    <row r="372" spans="1:11" s="11" customFormat="1" ht="14.25" customHeight="1" x14ac:dyDescent="0.15">
      <c r="A372" s="118" t="s">
        <v>602</v>
      </c>
      <c r="B372" s="98" t="s">
        <v>2443</v>
      </c>
      <c r="C372" s="143">
        <v>57.85</v>
      </c>
      <c r="D372" s="143">
        <v>18</v>
      </c>
      <c r="E372" s="143">
        <v>10233</v>
      </c>
      <c r="F372" s="62">
        <f t="shared" ref="F372" si="835">E372/$E$322</f>
        <v>1.8459147343609098E-2</v>
      </c>
      <c r="G372" s="143">
        <v>9679</v>
      </c>
      <c r="H372" s="27">
        <f t="shared" ref="H372" si="836">IF(OR(E372=G372,AND(E372="",G372=0),AND(E372=0,G372="")),0%,IF(OR(G372="",G372=0),100%,(E372-G372)/ABS(G372)))</f>
        <v>5.7237317904742228E-2</v>
      </c>
      <c r="I372" s="35">
        <f t="shared" ref="I372" si="837">IF(OR(D372=0,D372=""),0,E372/D372)</f>
        <v>568.5</v>
      </c>
      <c r="J372" s="70">
        <f t="shared" ref="J372" si="838">E372/C372</f>
        <v>176.88850475367329</v>
      </c>
      <c r="K372" s="292"/>
    </row>
    <row r="373" spans="1:11" s="11" customFormat="1" ht="14.25" customHeight="1" x14ac:dyDescent="0.15">
      <c r="A373" s="118" t="s">
        <v>340</v>
      </c>
      <c r="B373" s="98" t="s">
        <v>2209</v>
      </c>
      <c r="C373" s="143">
        <v>255</v>
      </c>
      <c r="D373" s="143">
        <v>68</v>
      </c>
      <c r="E373" s="143">
        <v>57349</v>
      </c>
      <c r="F373" s="62">
        <f t="shared" ref="F373:F383" si="839">E373/$E$322</f>
        <v>0.10345095680725479</v>
      </c>
      <c r="G373" s="143">
        <v>44779</v>
      </c>
      <c r="H373" s="27">
        <f t="shared" si="832"/>
        <v>0.28071194086513768</v>
      </c>
      <c r="I373" s="35">
        <f t="shared" si="833"/>
        <v>843.36764705882354</v>
      </c>
      <c r="J373" s="70">
        <f t="shared" si="834"/>
        <v>224.89803921568628</v>
      </c>
      <c r="K373" s="292"/>
    </row>
    <row r="374" spans="1:11" s="11" customFormat="1" ht="14.25" customHeight="1" x14ac:dyDescent="0.15">
      <c r="A374" s="118" t="s">
        <v>919</v>
      </c>
      <c r="B374" s="98" t="s">
        <v>2210</v>
      </c>
      <c r="C374" s="143">
        <v>150</v>
      </c>
      <c r="D374" s="143">
        <v>21</v>
      </c>
      <c r="E374" s="143">
        <v>18069.2</v>
      </c>
      <c r="F374" s="62">
        <f t="shared" si="839"/>
        <v>3.2594744960533717E-2</v>
      </c>
      <c r="G374" s="143">
        <v>11933.1</v>
      </c>
      <c r="H374" s="27">
        <f t="shared" ref="H374" si="840">IF(OR(E374=G374,AND(E374="",G374=0),AND(E374=0,G374="")),0%,IF(OR(G374="",G374=0),100%,(E374-G374)/ABS(G374)))</f>
        <v>0.51420837837611355</v>
      </c>
      <c r="I374" s="35">
        <f t="shared" ref="I374" si="841">IF(OR(D374=0,D374=""),0,E374/D374)</f>
        <v>860.43809523809523</v>
      </c>
      <c r="J374" s="70">
        <f t="shared" ref="J374" si="842">E374/C374</f>
        <v>120.46133333333334</v>
      </c>
      <c r="K374" s="292"/>
    </row>
    <row r="375" spans="1:11" s="11" customFormat="1" ht="14.25" customHeight="1" x14ac:dyDescent="0.15">
      <c r="A375" s="118" t="s">
        <v>1725</v>
      </c>
      <c r="B375" s="98" t="s">
        <v>2211</v>
      </c>
      <c r="C375" s="143">
        <v>81</v>
      </c>
      <c r="D375" s="143">
        <v>1</v>
      </c>
      <c r="E375" s="143">
        <v>1632</v>
      </c>
      <c r="F375" s="62">
        <f t="shared" ref="F375" si="843">E375/$E$322</f>
        <v>2.9439390662337581E-3</v>
      </c>
      <c r="G375" s="143">
        <v>1440</v>
      </c>
      <c r="H375" s="27">
        <f t="shared" ref="H375" si="844">IF(OR(E375=G375,AND(E375="",G375=0),AND(E375=0,G375="")),0%,IF(OR(G375="",G375=0),100%,(E375-G375)/ABS(G375)))</f>
        <v>0.13333333333333333</v>
      </c>
      <c r="I375" s="35">
        <f t="shared" ref="I375" si="845">IF(OR(D375=0,D375=""),0,E375/D375)</f>
        <v>1632</v>
      </c>
      <c r="J375" s="70">
        <f t="shared" ref="J375" si="846">E375/C375</f>
        <v>20.148148148148149</v>
      </c>
      <c r="K375" s="292"/>
    </row>
    <row r="376" spans="1:11" s="11" customFormat="1" ht="14.25" customHeight="1" x14ac:dyDescent="0.15">
      <c r="A376" s="118" t="s">
        <v>1767</v>
      </c>
      <c r="B376" s="98" t="s">
        <v>2212</v>
      </c>
      <c r="C376" s="143">
        <v>14</v>
      </c>
      <c r="D376" s="143">
        <v>6</v>
      </c>
      <c r="E376" s="143">
        <v>3819</v>
      </c>
      <c r="F376" s="62">
        <f t="shared" ref="F376" si="847">E376/$E$322</f>
        <v>6.8890338810948058E-3</v>
      </c>
      <c r="G376" s="143">
        <v>1453</v>
      </c>
      <c r="H376" s="27">
        <f t="shared" ref="H376" si="848">IF(OR(E376=G376,AND(E376="",G376=0),AND(E376=0,G376="")),0%,IF(OR(G376="",G376=0),100%,(E376-G376)/ABS(G376)))</f>
        <v>1.6283551273227805</v>
      </c>
      <c r="I376" s="35">
        <f t="shared" ref="I376" si="849">IF(OR(D376=0,D376=""),0,E376/D376)</f>
        <v>636.5</v>
      </c>
      <c r="J376" s="70">
        <f t="shared" ref="J376" si="850">E376/C376</f>
        <v>272.78571428571428</v>
      </c>
      <c r="K376" s="292"/>
    </row>
    <row r="377" spans="1:11" s="11" customFormat="1" ht="14.25" customHeight="1" x14ac:dyDescent="0.15">
      <c r="A377" s="118" t="s">
        <v>1912</v>
      </c>
      <c r="B377" s="98" t="s">
        <v>2213</v>
      </c>
      <c r="C377" s="143">
        <v>15</v>
      </c>
      <c r="D377" s="143"/>
      <c r="E377" s="143"/>
      <c r="F377" s="62">
        <f t="shared" ref="F377" si="851">E377/$E$322</f>
        <v>0</v>
      </c>
      <c r="G377" s="143">
        <v>869</v>
      </c>
      <c r="H377" s="27">
        <f t="shared" ref="H377" si="852">IF(OR(E377=G377,AND(E377="",G377=0),AND(E377=0,G377="")),0%,IF(OR(G377="",G377=0),100%,(E377-G377)/ABS(G377)))</f>
        <v>-1</v>
      </c>
      <c r="I377" s="35">
        <f t="shared" ref="I377" si="853">IF(OR(D377=0,D377=""),0,E377/D377)</f>
        <v>0</v>
      </c>
      <c r="J377" s="70">
        <f t="shared" ref="J377" si="854">E377/C377</f>
        <v>0</v>
      </c>
      <c r="K377" s="292"/>
    </row>
    <row r="378" spans="1:11" s="11" customFormat="1" ht="14.25" customHeight="1" x14ac:dyDescent="0.15">
      <c r="A378" s="118" t="s">
        <v>1856</v>
      </c>
      <c r="B378" s="98" t="s">
        <v>2214</v>
      </c>
      <c r="C378" s="143">
        <v>19</v>
      </c>
      <c r="D378" s="143">
        <v>1</v>
      </c>
      <c r="E378" s="143">
        <v>288</v>
      </c>
      <c r="F378" s="62">
        <f t="shared" ref="F378" si="855">E378/$E$322</f>
        <v>5.1951865874713384E-4</v>
      </c>
      <c r="G378" s="143"/>
      <c r="H378" s="27">
        <f t="shared" ref="H378" si="856">IF(OR(E378=G378,AND(E378="",G378=0),AND(E378=0,G378="")),0%,IF(OR(G378="",G378=0),100%,(E378-G378)/ABS(G378)))</f>
        <v>1</v>
      </c>
      <c r="I378" s="35">
        <f t="shared" ref="I378" si="857">IF(OR(D378=0,D378=""),0,E378/D378)</f>
        <v>288</v>
      </c>
      <c r="J378" s="70">
        <f t="shared" ref="J378" si="858">E378/C378</f>
        <v>15.157894736842104</v>
      </c>
      <c r="K378" s="292"/>
    </row>
    <row r="379" spans="1:11" s="11" customFormat="1" ht="14.25" customHeight="1" x14ac:dyDescent="0.15">
      <c r="A379" s="118" t="s">
        <v>1873</v>
      </c>
      <c r="B379" s="98" t="s">
        <v>2215</v>
      </c>
      <c r="C379" s="143">
        <v>30</v>
      </c>
      <c r="D379" s="143">
        <v>3</v>
      </c>
      <c r="E379" s="143">
        <v>309</v>
      </c>
      <c r="F379" s="62">
        <f t="shared" ref="F379" si="859">E379/$E$322</f>
        <v>5.5740022761411234E-4</v>
      </c>
      <c r="G379" s="143">
        <v>676</v>
      </c>
      <c r="H379" s="27">
        <f t="shared" ref="H379" si="860">IF(OR(E379=G379,AND(E379="",G379=0),AND(E379=0,G379="")),0%,IF(OR(G379="",G379=0),100%,(E379-G379)/ABS(G379)))</f>
        <v>-0.54289940828402372</v>
      </c>
      <c r="I379" s="35">
        <f t="shared" ref="I379" si="861">IF(OR(D379=0,D379=""),0,E379/D379)</f>
        <v>103</v>
      </c>
      <c r="J379" s="70">
        <f t="shared" ref="J379" si="862">E379/C379</f>
        <v>10.3</v>
      </c>
      <c r="K379" s="292"/>
    </row>
    <row r="380" spans="1:11" s="11" customFormat="1" ht="14.25" customHeight="1" x14ac:dyDescent="0.15">
      <c r="A380" s="118" t="s">
        <v>1025</v>
      </c>
      <c r="B380" s="98" t="s">
        <v>2216</v>
      </c>
      <c r="C380" s="143">
        <v>2346</v>
      </c>
      <c r="D380" s="143">
        <v>109</v>
      </c>
      <c r="E380" s="143">
        <v>36242</v>
      </c>
      <c r="F380" s="62">
        <f t="shared" si="839"/>
        <v>6.5376372327477866E-2</v>
      </c>
      <c r="G380" s="143">
        <v>-8164.7</v>
      </c>
      <c r="H380" s="27">
        <f t="shared" ref="H380" si="863">IF(OR(E380=G380,AND(E380="",G380=0),AND(E380=0,G380="")),0%,IF(OR(G380="",G380=0),100%,(E380-G380)/ABS(G380)))</f>
        <v>5.4388648694991852</v>
      </c>
      <c r="I380" s="35">
        <f t="shared" ref="I380" si="864">IF(OR(D380=0,D380=""),0,E380/D380)</f>
        <v>332.49541284403671</v>
      </c>
      <c r="J380" s="70">
        <f t="shared" ref="J380" si="865">E380/C380</f>
        <v>15.448422847399829</v>
      </c>
      <c r="K380" s="292"/>
    </row>
    <row r="381" spans="1:11" s="11" customFormat="1" ht="14.25" customHeight="1" x14ac:dyDescent="0.15">
      <c r="A381" s="118" t="s">
        <v>1052</v>
      </c>
      <c r="B381" s="98" t="s">
        <v>2217</v>
      </c>
      <c r="C381" s="143">
        <v>265</v>
      </c>
      <c r="D381" s="143">
        <v>35</v>
      </c>
      <c r="E381" s="143">
        <v>23804</v>
      </c>
      <c r="F381" s="62">
        <f t="shared" si="839"/>
        <v>4.2939660252836021E-2</v>
      </c>
      <c r="G381" s="143">
        <v>32637</v>
      </c>
      <c r="H381" s="27">
        <f t="shared" ref="H381:H382" si="866">IF(OR(E381=G381,AND(E381="",G381=0),AND(E381=0,G381="")),0%,IF(OR(G381="",G381=0),100%,(E381-G381)/ABS(G381)))</f>
        <v>-0.2706437478934951</v>
      </c>
      <c r="I381" s="35">
        <f t="shared" ref="I381:I382" si="867">IF(OR(D381=0,D381=""),0,E381/D381)</f>
        <v>680.11428571428576</v>
      </c>
      <c r="J381" s="70">
        <f t="shared" ref="J381:J382" si="868">E381/C381</f>
        <v>89.826415094339623</v>
      </c>
      <c r="K381" s="292"/>
    </row>
    <row r="382" spans="1:11" s="11" customFormat="1" ht="14.25" customHeight="1" x14ac:dyDescent="0.15">
      <c r="A382" s="118" t="s">
        <v>1165</v>
      </c>
      <c r="B382" s="98" t="s">
        <v>2218</v>
      </c>
      <c r="C382" s="143">
        <v>170</v>
      </c>
      <c r="D382" s="143">
        <v>17</v>
      </c>
      <c r="E382" s="143">
        <v>14279.8</v>
      </c>
      <c r="F382" s="62">
        <f t="shared" si="839"/>
        <v>2.575910605269903E-2</v>
      </c>
      <c r="G382" s="143">
        <v>20155.400000000001</v>
      </c>
      <c r="H382" s="27">
        <f t="shared" si="866"/>
        <v>-0.29151492900165721</v>
      </c>
      <c r="I382" s="35">
        <f t="shared" si="867"/>
        <v>839.98823529411766</v>
      </c>
      <c r="J382" s="70">
        <f t="shared" si="868"/>
        <v>83.998823529411766</v>
      </c>
      <c r="K382" s="292"/>
    </row>
    <row r="383" spans="1:11" s="11" customFormat="1" ht="14.25" customHeight="1" x14ac:dyDescent="0.15">
      <c r="A383" s="118" t="s">
        <v>1627</v>
      </c>
      <c r="B383" s="98" t="s">
        <v>2219</v>
      </c>
      <c r="C383" s="143">
        <v>120</v>
      </c>
      <c r="D383" s="143">
        <v>23</v>
      </c>
      <c r="E383" s="143">
        <v>11740</v>
      </c>
      <c r="F383" s="62">
        <f t="shared" si="839"/>
        <v>2.1177600880872748E-2</v>
      </c>
      <c r="G383" s="143">
        <v>8180</v>
      </c>
      <c r="H383" s="27">
        <f t="shared" si="832"/>
        <v>0.4352078239608802</v>
      </c>
      <c r="I383" s="35">
        <f t="shared" si="833"/>
        <v>510.43478260869563</v>
      </c>
      <c r="J383" s="70">
        <f t="shared" si="834"/>
        <v>97.833333333333329</v>
      </c>
      <c r="K383" s="292"/>
    </row>
    <row r="384" spans="1:11" s="11" customFormat="1" ht="14.25" customHeight="1" x14ac:dyDescent="0.15">
      <c r="A384" s="118" t="s">
        <v>1750</v>
      </c>
      <c r="B384" s="177" t="s">
        <v>2220</v>
      </c>
      <c r="C384" s="178">
        <v>78</v>
      </c>
      <c r="D384" s="178">
        <v>9</v>
      </c>
      <c r="E384" s="178">
        <v>5003</v>
      </c>
      <c r="F384" s="196">
        <f t="shared" ref="F384" si="869">E384/$E$322</f>
        <v>9.0248328114996886E-3</v>
      </c>
      <c r="G384" s="178">
        <v>10403</v>
      </c>
      <c r="H384" s="179">
        <f t="shared" ref="H384" si="870">IF(OR(E384=G384,AND(E384="",G384=0),AND(E384=0,G384="")),0%,IF(OR(G384="",G384=0),100%,(E384-G384)/ABS(G384)))</f>
        <v>-0.5190810343170239</v>
      </c>
      <c r="I384" s="180">
        <f t="shared" ref="I384" si="871">IF(OR(D384=0,D384=""),0,E384/D384)</f>
        <v>555.88888888888891</v>
      </c>
      <c r="J384" s="181">
        <f t="shared" ref="J384" si="872">E384/C384</f>
        <v>64.141025641025635</v>
      </c>
      <c r="K384" s="292"/>
    </row>
    <row r="385" spans="1:11" s="11" customFormat="1" ht="14.25" customHeight="1" x14ac:dyDescent="0.15">
      <c r="A385" s="118" t="s">
        <v>1860</v>
      </c>
      <c r="B385" s="177" t="s">
        <v>2221</v>
      </c>
      <c r="C385" s="178">
        <v>10</v>
      </c>
      <c r="D385" s="178"/>
      <c r="E385" s="178"/>
      <c r="F385" s="196">
        <f t="shared" ref="F385" si="873">E385/$E$322</f>
        <v>0</v>
      </c>
      <c r="G385" s="178"/>
      <c r="H385" s="179">
        <f t="shared" ref="H385" si="874">IF(OR(E385=G385,AND(E385="",G385=0),AND(E385=0,G385="")),0%,IF(OR(G385="",G385=0),100%,(E385-G385)/ABS(G385)))</f>
        <v>0</v>
      </c>
      <c r="I385" s="180">
        <f t="shared" ref="I385" si="875">IF(OR(D385=0,D385=""),0,E385/D385)</f>
        <v>0</v>
      </c>
      <c r="J385" s="181">
        <f t="shared" ref="J385" si="876">E385/C385</f>
        <v>0</v>
      </c>
      <c r="K385" s="292"/>
    </row>
    <row r="386" spans="1:11" s="86" customFormat="1" ht="14.25" customHeight="1" x14ac:dyDescent="0.15">
      <c r="A386" s="118" t="s">
        <v>627</v>
      </c>
      <c r="B386" s="177" t="s">
        <v>2222</v>
      </c>
      <c r="C386" s="178">
        <v>9</v>
      </c>
      <c r="D386" s="178">
        <v>2</v>
      </c>
      <c r="E386" s="178">
        <v>300</v>
      </c>
      <c r="F386" s="196">
        <f>E386/$E$322</f>
        <v>5.4116526952826443E-4</v>
      </c>
      <c r="G386" s="178"/>
      <c r="H386" s="179">
        <f t="shared" ref="H386:H387" si="877">IF(OR(E386=G386,AND(E386="",G386=0),AND(E386=0,G386="")),0%,IF(OR(G386="",G386=0),100%,(E386-G386)/ABS(G386)))</f>
        <v>1</v>
      </c>
      <c r="I386" s="180">
        <f t="shared" ref="I386:I387" si="878">IF(OR(D386=0,D386=""),0,E386/D386)</f>
        <v>150</v>
      </c>
      <c r="J386" s="181">
        <f t="shared" ref="J386:J387" si="879">E386/C386</f>
        <v>33.333333333333336</v>
      </c>
      <c r="K386" s="292"/>
    </row>
    <row r="387" spans="1:11" s="86" customFormat="1" ht="14.25" customHeight="1" x14ac:dyDescent="0.15">
      <c r="A387" s="118" t="s">
        <v>596</v>
      </c>
      <c r="B387" s="177" t="s">
        <v>2387</v>
      </c>
      <c r="C387" s="178">
        <v>15</v>
      </c>
      <c r="D387" s="178">
        <v>15</v>
      </c>
      <c r="E387" s="178">
        <v>11526</v>
      </c>
      <c r="F387" s="196">
        <f>E387/$E$322</f>
        <v>2.0791569655275916E-2</v>
      </c>
      <c r="G387" s="178">
        <v>5163</v>
      </c>
      <c r="H387" s="179">
        <f t="shared" si="877"/>
        <v>1.2324230098779778</v>
      </c>
      <c r="I387" s="180">
        <f t="shared" si="878"/>
        <v>768.4</v>
      </c>
      <c r="J387" s="181">
        <f t="shared" si="879"/>
        <v>768.4</v>
      </c>
      <c r="K387" s="292"/>
    </row>
    <row r="388" spans="1:11" s="86" customFormat="1" ht="14.25" customHeight="1" x14ac:dyDescent="0.15">
      <c r="A388" s="176" t="s">
        <v>757</v>
      </c>
      <c r="B388" s="277" t="s">
        <v>2444</v>
      </c>
      <c r="C388" s="178">
        <v>15</v>
      </c>
      <c r="D388" s="178">
        <v>2</v>
      </c>
      <c r="E388" s="178">
        <v>1680</v>
      </c>
      <c r="F388" s="196">
        <f t="shared" ref="F388" si="880">E388/$E$322</f>
        <v>3.0305255093582804E-3</v>
      </c>
      <c r="G388" s="178"/>
      <c r="H388" s="179">
        <f t="shared" ref="H388" si="881">IF(OR(E388=G388,AND(E388="",G388=0),AND(E388=0,G388="")),0%,IF(OR(G388="",G388=0),100%,(E388-G388)/ABS(G388)))</f>
        <v>1</v>
      </c>
      <c r="I388" s="180">
        <f t="shared" ref="I388" si="882">IF(OR(D388=0,D388=""),0,E388/D388)</f>
        <v>840</v>
      </c>
      <c r="J388" s="181">
        <f t="shared" ref="J388" si="883">E388/C388</f>
        <v>112</v>
      </c>
      <c r="K388" s="292"/>
    </row>
    <row r="389" spans="1:11" s="86" customFormat="1" ht="14.25" customHeight="1" x14ac:dyDescent="0.15">
      <c r="A389" s="176" t="s">
        <v>1097</v>
      </c>
      <c r="B389" s="277" t="s">
        <v>2223</v>
      </c>
      <c r="C389" s="178">
        <v>10</v>
      </c>
      <c r="D389" s="178">
        <v>5</v>
      </c>
      <c r="E389" s="178">
        <v>1357</v>
      </c>
      <c r="F389" s="196">
        <f t="shared" ref="F389" si="884">E389/$E$322</f>
        <v>2.4478709024995161E-3</v>
      </c>
      <c r="G389" s="178">
        <v>2890</v>
      </c>
      <c r="H389" s="179">
        <f t="shared" ref="H389" si="885">IF(OR(E389=G389,AND(E389="",G389=0),AND(E389=0,G389="")),0%,IF(OR(G389="",G389=0),100%,(E389-G389)/ABS(G389)))</f>
        <v>-0.5304498269896194</v>
      </c>
      <c r="I389" s="180">
        <f t="shared" ref="I389" si="886">IF(OR(D389=0,D389=""),0,E389/D389)</f>
        <v>271.39999999999998</v>
      </c>
      <c r="J389" s="181">
        <f t="shared" ref="J389" si="887">E389/C389</f>
        <v>135.69999999999999</v>
      </c>
      <c r="K389" s="292"/>
    </row>
    <row r="390" spans="1:11" s="86" customFormat="1" ht="14.25" customHeight="1" x14ac:dyDescent="0.15">
      <c r="A390" s="176" t="s">
        <v>1101</v>
      </c>
      <c r="B390" s="277" t="s">
        <v>2224</v>
      </c>
      <c r="C390" s="178">
        <v>20</v>
      </c>
      <c r="D390" s="178">
        <v>3</v>
      </c>
      <c r="E390" s="178">
        <v>855</v>
      </c>
      <c r="F390" s="196">
        <f t="shared" ref="F390" si="888">E390/$E$322</f>
        <v>1.5423210181555536E-3</v>
      </c>
      <c r="G390" s="178"/>
      <c r="H390" s="179">
        <f t="shared" ref="H390" si="889">IF(OR(E390=G390,AND(E390="",G390=0),AND(E390=0,G390="")),0%,IF(OR(G390="",G390=0),100%,(E390-G390)/ABS(G390)))</f>
        <v>1</v>
      </c>
      <c r="I390" s="180">
        <f t="shared" ref="I390" si="890">IF(OR(D390=0,D390=""),0,E390/D390)</f>
        <v>285</v>
      </c>
      <c r="J390" s="181">
        <f t="shared" ref="J390" si="891">E390/C390</f>
        <v>42.75</v>
      </c>
      <c r="K390" s="292"/>
    </row>
    <row r="391" spans="1:11" s="86" customFormat="1" ht="14.25" customHeight="1" x14ac:dyDescent="0.15">
      <c r="A391" s="176" t="s">
        <v>1099</v>
      </c>
      <c r="B391" s="277" t="s">
        <v>2225</v>
      </c>
      <c r="C391" s="178">
        <v>20</v>
      </c>
      <c r="D391" s="178">
        <v>5</v>
      </c>
      <c r="E391" s="178">
        <v>359</v>
      </c>
      <c r="F391" s="196">
        <f t="shared" ref="F391:F393" si="892">E391/$E$322</f>
        <v>6.4759443920215634E-4</v>
      </c>
      <c r="G391" s="178">
        <v>254</v>
      </c>
      <c r="H391" s="179">
        <f t="shared" ref="H391" si="893">IF(OR(E391=G391,AND(E391="",G391=0),AND(E391=0,G391="")),0%,IF(OR(G391="",G391=0),100%,(E391-G391)/ABS(G391)))</f>
        <v>0.41338582677165353</v>
      </c>
      <c r="I391" s="180">
        <f t="shared" ref="I391" si="894">IF(OR(D391=0,D391=""),0,E391/D391)</f>
        <v>71.8</v>
      </c>
      <c r="J391" s="181">
        <f t="shared" ref="J391" si="895">E391/C391</f>
        <v>17.95</v>
      </c>
      <c r="K391" s="292"/>
    </row>
    <row r="392" spans="1:11" s="86" customFormat="1" ht="14.25" customHeight="1" x14ac:dyDescent="0.15">
      <c r="A392" s="176" t="s">
        <v>1644</v>
      </c>
      <c r="B392" s="277" t="s">
        <v>2445</v>
      </c>
      <c r="C392" s="178">
        <v>50</v>
      </c>
      <c r="D392" s="178"/>
      <c r="E392" s="178"/>
      <c r="F392" s="196">
        <f t="shared" si="892"/>
        <v>0</v>
      </c>
      <c r="G392" s="178"/>
      <c r="H392" s="179">
        <f t="shared" ref="H392:H393" si="896">IF(OR(E392=G392,AND(E392="",G392=0),AND(E392=0,G392="")),0%,IF(OR(G392="",G392=0),100%,(E392-G392)/ABS(G392)))</f>
        <v>0</v>
      </c>
      <c r="I392" s="180">
        <f t="shared" ref="I392:I393" si="897">IF(OR(D392=0,D392=""),0,E392/D392)</f>
        <v>0</v>
      </c>
      <c r="J392" s="181">
        <f t="shared" ref="J392:J393" si="898">E392/C392</f>
        <v>0</v>
      </c>
      <c r="K392" s="292"/>
    </row>
    <row r="393" spans="1:11" s="86" customFormat="1" ht="14.25" customHeight="1" x14ac:dyDescent="0.15">
      <c r="A393" s="297" t="s">
        <v>1848</v>
      </c>
      <c r="B393" s="277" t="s">
        <v>2226</v>
      </c>
      <c r="C393" s="178">
        <v>50</v>
      </c>
      <c r="D393" s="178"/>
      <c r="E393" s="178"/>
      <c r="F393" s="196">
        <f t="shared" si="892"/>
        <v>0</v>
      </c>
      <c r="G393" s="178"/>
      <c r="H393" s="179">
        <f t="shared" si="896"/>
        <v>0</v>
      </c>
      <c r="I393" s="180">
        <f t="shared" si="897"/>
        <v>0</v>
      </c>
      <c r="J393" s="181">
        <f t="shared" si="898"/>
        <v>0</v>
      </c>
      <c r="K393" s="292"/>
    </row>
    <row r="394" spans="1:11" s="86" customFormat="1" ht="14.25" customHeight="1" x14ac:dyDescent="0.15">
      <c r="A394" s="297" t="s">
        <v>1894</v>
      </c>
      <c r="B394" s="277" t="s">
        <v>2350</v>
      </c>
      <c r="C394" s="178">
        <v>150</v>
      </c>
      <c r="D394" s="178"/>
      <c r="E394" s="178"/>
      <c r="F394" s="196">
        <f t="shared" ref="F394" si="899">E394/$E$322</f>
        <v>0</v>
      </c>
      <c r="G394" s="178"/>
      <c r="H394" s="179">
        <f t="shared" ref="H394" si="900">IF(OR(E394=G394,AND(E394="",G394=0),AND(E394=0,G394="")),0%,IF(OR(G394="",G394=0),100%,(E394-G394)/ABS(G394)))</f>
        <v>0</v>
      </c>
      <c r="I394" s="180">
        <f t="shared" ref="I394" si="901">IF(OR(D394=0,D394=""),0,E394/D394)</f>
        <v>0</v>
      </c>
      <c r="J394" s="181">
        <f t="shared" ref="J394" si="902">E394/C394</f>
        <v>0</v>
      </c>
      <c r="K394" s="292"/>
    </row>
    <row r="395" spans="1:11" s="86" customFormat="1" ht="14.25" customHeight="1" x14ac:dyDescent="0.15">
      <c r="A395" s="297" t="s">
        <v>1908</v>
      </c>
      <c r="B395" s="277" t="s">
        <v>2351</v>
      </c>
      <c r="C395" s="178">
        <v>50</v>
      </c>
      <c r="D395" s="178"/>
      <c r="E395" s="178"/>
      <c r="F395" s="196">
        <f t="shared" ref="F395" si="903">E395/$E$322</f>
        <v>0</v>
      </c>
      <c r="G395" s="178">
        <v>6839.5</v>
      </c>
      <c r="H395" s="179">
        <f t="shared" ref="H395" si="904">IF(OR(E395=G395,AND(E395="",G395=0),AND(E395=0,G395="")),0%,IF(OR(G395="",G395=0),100%,(E395-G395)/ABS(G395)))</f>
        <v>-1</v>
      </c>
      <c r="I395" s="180">
        <f t="shared" ref="I395" si="905">IF(OR(D395=0,D395=""),0,E395/D395)</f>
        <v>0</v>
      </c>
      <c r="J395" s="181">
        <f t="shared" ref="J395" si="906">E395/C395</f>
        <v>0</v>
      </c>
      <c r="K395" s="292"/>
    </row>
    <row r="396" spans="1:11" s="86" customFormat="1" ht="14.25" customHeight="1" x14ac:dyDescent="0.15">
      <c r="A396" s="297" t="s">
        <v>1915</v>
      </c>
      <c r="B396" s="277" t="s">
        <v>2227</v>
      </c>
      <c r="C396" s="178">
        <v>150</v>
      </c>
      <c r="D396" s="178">
        <v>96</v>
      </c>
      <c r="E396" s="178">
        <v>17228.3</v>
      </c>
      <c r="F396" s="196">
        <f t="shared" ref="F396" si="907">E396/$E$322</f>
        <v>3.1077858710045991E-2</v>
      </c>
      <c r="G396" s="178"/>
      <c r="H396" s="179">
        <f t="shared" ref="H396" si="908">IF(OR(E396=G396,AND(E396="",G396=0),AND(E396=0,G396="")),0%,IF(OR(G396="",G396=0),100%,(E396-G396)/ABS(G396)))</f>
        <v>1</v>
      </c>
      <c r="I396" s="180">
        <f t="shared" ref="I396" si="909">IF(OR(D396=0,D396=""),0,E396/D396)</f>
        <v>179.46145833333333</v>
      </c>
      <c r="J396" s="181">
        <f t="shared" ref="J396" si="910">E396/C396</f>
        <v>114.85533333333333</v>
      </c>
      <c r="K396" s="292"/>
    </row>
    <row r="397" spans="1:11" s="86" customFormat="1" ht="14.25" customHeight="1" x14ac:dyDescent="0.15">
      <c r="A397" s="297" t="s">
        <v>1872</v>
      </c>
      <c r="B397" s="277" t="s">
        <v>2228</v>
      </c>
      <c r="C397" s="178">
        <v>150</v>
      </c>
      <c r="D397" s="178"/>
      <c r="E397" s="178"/>
      <c r="F397" s="196">
        <f>E397/$E$322</f>
        <v>0</v>
      </c>
      <c r="G397" s="178"/>
      <c r="H397" s="179">
        <f>IF(OR(E397=G397,AND(E397="",G397=0),AND(E397=0,G397="")),0%,IF(OR(G397="",G397=0),100%,(E397-G397)/ABS(G397)))</f>
        <v>0</v>
      </c>
      <c r="I397" s="180">
        <f>IF(OR(D397=0,D397=""),0,E397/D397)</f>
        <v>0</v>
      </c>
      <c r="J397" s="181">
        <f>E397/C397</f>
        <v>0</v>
      </c>
      <c r="K397" s="292"/>
    </row>
    <row r="398" spans="1:11" s="86" customFormat="1" ht="14.25" customHeight="1" x14ac:dyDescent="0.15">
      <c r="A398" s="297" t="s">
        <v>1910</v>
      </c>
      <c r="B398" s="277" t="s">
        <v>2229</v>
      </c>
      <c r="C398" s="178">
        <v>25</v>
      </c>
      <c r="D398" s="178"/>
      <c r="E398" s="178"/>
      <c r="F398" s="196">
        <f>E398/$E$322</f>
        <v>0</v>
      </c>
      <c r="G398" s="178">
        <v>4621</v>
      </c>
      <c r="H398" s="179">
        <f>IF(OR(E398=G398,AND(E398="",G398=0),AND(E398=0,G398="")),0%,IF(OR(G398="",G398=0),100%,(E398-G398)/ABS(G398)))</f>
        <v>-1</v>
      </c>
      <c r="I398" s="180">
        <f>IF(OR(D398=0,D398=""),0,E398/D398)</f>
        <v>0</v>
      </c>
      <c r="J398" s="181">
        <f>E398/C398</f>
        <v>0</v>
      </c>
      <c r="K398" s="292"/>
    </row>
    <row r="399" spans="1:11" s="86" customFormat="1" ht="14.25" customHeight="1" x14ac:dyDescent="0.15">
      <c r="A399" s="297" t="s">
        <v>1874</v>
      </c>
      <c r="B399" s="277" t="s">
        <v>2230</v>
      </c>
      <c r="C399" s="178">
        <v>50</v>
      </c>
      <c r="D399" s="178"/>
      <c r="E399" s="178"/>
      <c r="F399" s="196">
        <f>E399/$E$322</f>
        <v>0</v>
      </c>
      <c r="G399" s="178"/>
      <c r="H399" s="179">
        <f>IF(OR(E399=G399,AND(E399="",G399=0),AND(E399=0,G399="")),0%,IF(OR(G399="",G399=0),100%,(E399-G399)/ABS(G399)))</f>
        <v>0</v>
      </c>
      <c r="I399" s="180">
        <f>IF(OR(D399=0,D399=""),0,E399/D399)</f>
        <v>0</v>
      </c>
      <c r="J399" s="181">
        <f>E399/C399</f>
        <v>0</v>
      </c>
      <c r="K399" s="292"/>
    </row>
    <row r="400" spans="1:11" s="86" customFormat="1" ht="14.25" customHeight="1" x14ac:dyDescent="0.15">
      <c r="A400" s="297" t="s">
        <v>1917</v>
      </c>
      <c r="B400" s="277" t="s">
        <v>2231</v>
      </c>
      <c r="C400" s="178">
        <v>50</v>
      </c>
      <c r="D400" s="178">
        <v>21</v>
      </c>
      <c r="E400" s="178">
        <v>7353</v>
      </c>
      <c r="F400" s="196">
        <f>E400/$E$322</f>
        <v>1.326396075613776E-2</v>
      </c>
      <c r="G400" s="178"/>
      <c r="H400" s="179">
        <f>IF(OR(E400=G400,AND(E400="",G400=0),AND(E400=0,G400="")),0%,IF(OR(G400="",G400=0),100%,(E400-G400)/ABS(G400)))</f>
        <v>1</v>
      </c>
      <c r="I400" s="180">
        <f>IF(OR(D400=0,D400=""),0,E400/D400)</f>
        <v>350.14285714285717</v>
      </c>
      <c r="J400" s="181">
        <f>E400/C400</f>
        <v>147.06</v>
      </c>
      <c r="K400" s="292"/>
    </row>
    <row r="401" spans="1:11" s="86" customFormat="1" ht="14.25" customHeight="1" x14ac:dyDescent="0.15">
      <c r="A401" s="297" t="s">
        <v>1905</v>
      </c>
      <c r="B401" s="277" t="s">
        <v>2232</v>
      </c>
      <c r="C401" s="178">
        <v>150</v>
      </c>
      <c r="D401" s="178"/>
      <c r="E401" s="178"/>
      <c r="F401" s="196">
        <f>E401/$E$322</f>
        <v>0</v>
      </c>
      <c r="G401" s="178"/>
      <c r="H401" s="179">
        <f>IF(OR(E401=G401,AND(E401="",G401=0),AND(E401=0,G401="")),0%,IF(OR(G401="",G401=0),100%,(E401-G401)/ABS(G401)))</f>
        <v>0</v>
      </c>
      <c r="I401" s="180">
        <f>IF(OR(D401=0,D401=""),0,E401/D401)</f>
        <v>0</v>
      </c>
      <c r="J401" s="181">
        <f>E401/C401</f>
        <v>0</v>
      </c>
      <c r="K401" s="292"/>
    </row>
    <row r="402" spans="1:11" s="86" customFormat="1" ht="14.25" customHeight="1" x14ac:dyDescent="0.15">
      <c r="A402" s="298" t="s">
        <v>1826</v>
      </c>
      <c r="B402" s="282" t="s">
        <v>2233</v>
      </c>
      <c r="C402" s="164">
        <v>50</v>
      </c>
      <c r="D402" s="164"/>
      <c r="E402" s="164"/>
      <c r="F402" s="114">
        <f t="shared" ref="F402" si="911">E402/$E$322</f>
        <v>0</v>
      </c>
      <c r="G402" s="164"/>
      <c r="H402" s="29">
        <f t="shared" ref="H402" si="912">IF(OR(E402=G402,AND(E402="",G402=0),AND(E402=0,G402="")),0%,IF(OR(G402="",G402=0),100%,(E402-G402)/ABS(G402)))</f>
        <v>0</v>
      </c>
      <c r="I402" s="36">
        <f t="shared" ref="I402" si="913">IF(OR(D402=0,D402=""),0,E402/D402)</f>
        <v>0</v>
      </c>
      <c r="J402" s="71">
        <f t="shared" ref="J402" si="914">E402/C402</f>
        <v>0</v>
      </c>
      <c r="K402" s="292"/>
    </row>
    <row r="403" spans="1:11" s="11" customFormat="1" ht="14.25" customHeight="1" x14ac:dyDescent="0.15">
      <c r="A403"/>
      <c r="B403"/>
      <c r="C403" s="137"/>
      <c r="D403" s="156"/>
      <c r="E403"/>
      <c r="F403"/>
      <c r="G403"/>
      <c r="H403" s="3"/>
      <c r="I403"/>
      <c r="J403"/>
    </row>
    <row r="404" spans="1:11" s="11" customFormat="1" ht="14.25" customHeight="1" x14ac:dyDescent="0.15">
      <c r="A404" s="322" t="s">
        <v>80</v>
      </c>
      <c r="B404" s="323"/>
      <c r="C404" s="323"/>
      <c r="D404" s="323"/>
      <c r="E404" s="323"/>
      <c r="F404" s="323"/>
      <c r="G404" s="323"/>
      <c r="H404" s="323"/>
      <c r="I404" s="323"/>
      <c r="J404" s="324"/>
    </row>
    <row r="405" spans="1:11" s="11" customFormat="1" ht="14.25" customHeight="1" x14ac:dyDescent="0.15">
      <c r="A405" s="48" t="s">
        <v>116</v>
      </c>
      <c r="B405" s="49" t="s">
        <v>69</v>
      </c>
      <c r="C405" s="145" t="s">
        <v>70</v>
      </c>
      <c r="D405" s="162" t="s">
        <v>71</v>
      </c>
      <c r="E405" s="50" t="s">
        <v>72</v>
      </c>
      <c r="F405" s="49" t="s">
        <v>73</v>
      </c>
      <c r="G405" s="49" t="s">
        <v>74</v>
      </c>
      <c r="H405" s="51" t="s">
        <v>75</v>
      </c>
      <c r="I405" s="51" t="s">
        <v>76</v>
      </c>
      <c r="J405" s="52" t="s">
        <v>77</v>
      </c>
    </row>
    <row r="406" spans="1:11" s="11" customFormat="1" ht="14.25" customHeight="1" x14ac:dyDescent="0.15">
      <c r="A406" s="47" t="s">
        <v>78</v>
      </c>
      <c r="B406" s="45"/>
      <c r="C406" s="146">
        <f>SUM(C407:C443)</f>
        <v>3307.9700000000003</v>
      </c>
      <c r="D406" s="146">
        <f>SUM(D407:D443)</f>
        <v>405</v>
      </c>
      <c r="E406" s="46">
        <f>SUM(E407:E443)</f>
        <v>109219.90000000001</v>
      </c>
      <c r="F406" s="105">
        <f>SUM(F407:F443)</f>
        <v>1.0000000000000002</v>
      </c>
      <c r="G406" s="46">
        <f>SUM(G407:G443)</f>
        <v>188524.1</v>
      </c>
      <c r="H406" s="44">
        <f t="shared" ref="H406" si="915">IF(OR(E406=G406,AND(E406="",G406=0),AND(E406=0,G406="")),0%,IF(OR(G406="",G406=0),100%,(E406-G406)/ABS(G406)))</f>
        <v>-0.42065815458076711</v>
      </c>
      <c r="I406" s="79">
        <f>IF(OR(D406=0,D406=""),0,E406/D406)</f>
        <v>269.67876543209877</v>
      </c>
      <c r="J406" s="72">
        <f>E406/C406</f>
        <v>33.017197858505369</v>
      </c>
    </row>
    <row r="407" spans="1:11" s="11" customFormat="1" ht="14.25" customHeight="1" x14ac:dyDescent="0.15">
      <c r="A407" s="118" t="s">
        <v>311</v>
      </c>
      <c r="B407" s="98" t="s">
        <v>2234</v>
      </c>
      <c r="C407" s="143">
        <v>330</v>
      </c>
      <c r="D407" s="143">
        <v>13</v>
      </c>
      <c r="E407" s="143">
        <v>9356.7999999999993</v>
      </c>
      <c r="F407" s="62">
        <f>E407/$E$406</f>
        <v>8.566936977602066E-2</v>
      </c>
      <c r="G407" s="143">
        <v>6820.3</v>
      </c>
      <c r="H407" s="27">
        <f t="shared" ref="H407:H408" si="916">IF(OR(E407=G407,AND(E407="",G407=0),AND(E407=0,G407="")),0%,IF(OR(G407="",G407=0),100%,(E407-G407)/ABS(G407)))</f>
        <v>0.37190446168057112</v>
      </c>
      <c r="I407" s="35">
        <f t="shared" ref="I407:I408" si="917">IF(OR(D407=0,D407=""),0,E407/D407)</f>
        <v>719.7538461538461</v>
      </c>
      <c r="J407" s="70">
        <f t="shared" ref="J407:J408" si="918">E407/C407</f>
        <v>28.353939393939392</v>
      </c>
    </row>
    <row r="408" spans="1:11" s="11" customFormat="1" ht="14.25" customHeight="1" x14ac:dyDescent="0.15">
      <c r="A408" s="118" t="s">
        <v>858</v>
      </c>
      <c r="B408" s="98" t="s">
        <v>2235</v>
      </c>
      <c r="C408" s="143">
        <v>130.01</v>
      </c>
      <c r="D408" s="143">
        <v>9</v>
      </c>
      <c r="E408" s="143">
        <v>1706</v>
      </c>
      <c r="F408" s="62">
        <f>E408/$E$406</f>
        <v>1.5619864145636462E-2</v>
      </c>
      <c r="G408" s="143">
        <v>39215</v>
      </c>
      <c r="H408" s="27">
        <f t="shared" si="916"/>
        <v>-0.95649623868417699</v>
      </c>
      <c r="I408" s="35">
        <f t="shared" si="917"/>
        <v>189.55555555555554</v>
      </c>
      <c r="J408" s="70">
        <f t="shared" si="918"/>
        <v>13.122067533266673</v>
      </c>
    </row>
    <row r="409" spans="1:11" s="11" customFormat="1" ht="14.25" customHeight="1" x14ac:dyDescent="0.15">
      <c r="A409" s="118" t="s">
        <v>781</v>
      </c>
      <c r="B409" s="98" t="s">
        <v>2236</v>
      </c>
      <c r="C409" s="143">
        <v>77.67</v>
      </c>
      <c r="D409" s="143">
        <v>1</v>
      </c>
      <c r="E409" s="143">
        <v>232</v>
      </c>
      <c r="F409" s="62">
        <f>E409/$E$406</f>
        <v>2.1241550303561893E-3</v>
      </c>
      <c r="G409" s="143">
        <v>7123.4</v>
      </c>
      <c r="H409" s="27">
        <f t="shared" ref="H409" si="919">IF(OR(E409=G409,AND(E409="",G409=0),AND(E409=0,G409="")),0%,IF(OR(G409="",G409=0),100%,(E409-G409)/ABS(G409)))</f>
        <v>-0.9674312828143864</v>
      </c>
      <c r="I409" s="35">
        <f t="shared" ref="I409" si="920">IF(OR(D409=0,D409=""),0,E409/D409)</f>
        <v>232</v>
      </c>
      <c r="J409" s="70">
        <f t="shared" ref="J409" si="921">E409/C409</f>
        <v>2.9869962662546672</v>
      </c>
    </row>
    <row r="410" spans="1:11" s="11" customFormat="1" ht="14.25" customHeight="1" x14ac:dyDescent="0.15">
      <c r="A410" s="118" t="s">
        <v>801</v>
      </c>
      <c r="B410" s="98" t="s">
        <v>2237</v>
      </c>
      <c r="C410" s="143">
        <v>83.09</v>
      </c>
      <c r="D410" s="143">
        <v>3</v>
      </c>
      <c r="E410" s="143">
        <v>1348</v>
      </c>
      <c r="F410" s="62">
        <f>E410/$E$406</f>
        <v>1.2342073193621309E-2</v>
      </c>
      <c r="G410" s="143">
        <v>237</v>
      </c>
      <c r="H410" s="27">
        <f t="shared" ref="H410" si="922">IF(OR(E410=G410,AND(E410="",G410=0),AND(E410=0,G410="")),0%,IF(OR(G410="",G410=0),100%,(E410-G410)/ABS(G410)))</f>
        <v>4.6877637130801686</v>
      </c>
      <c r="I410" s="35">
        <f t="shared" ref="I410" si="923">IF(OR(D410=0,D410=""),0,E410/D410)</f>
        <v>449.33333333333331</v>
      </c>
      <c r="J410" s="70">
        <f t="shared" ref="J410" si="924">E410/C410</f>
        <v>16.223372246961127</v>
      </c>
    </row>
    <row r="411" spans="1:11" s="11" customFormat="1" ht="14.25" customHeight="1" x14ac:dyDescent="0.15">
      <c r="A411" s="118" t="s">
        <v>293</v>
      </c>
      <c r="B411" s="98" t="s">
        <v>2238</v>
      </c>
      <c r="C411" s="143">
        <v>84.31</v>
      </c>
      <c r="D411" s="143">
        <v>6</v>
      </c>
      <c r="E411" s="143">
        <v>1079</v>
      </c>
      <c r="F411" s="62">
        <f t="shared" ref="F411" si="925">E411/$E$406</f>
        <v>9.8791520592858978E-3</v>
      </c>
      <c r="G411" s="143">
        <v>6237</v>
      </c>
      <c r="H411" s="27">
        <f t="shared" ref="H411" si="926">IF(OR(E411=G411,AND(E411="",G411=0),AND(E411=0,G411="")),0%,IF(OR(G411="",G411=0),100%,(E411-G411)/ABS(G411)))</f>
        <v>-0.82700016033349366</v>
      </c>
      <c r="I411" s="35">
        <f t="shared" ref="I411" si="927">IF(OR(D411=0,D411=""),0,E411/D411)</f>
        <v>179.83333333333334</v>
      </c>
      <c r="J411" s="70">
        <f t="shared" ref="J411" si="928">E411/C411</f>
        <v>12.798007353813308</v>
      </c>
    </row>
    <row r="412" spans="1:11" s="11" customFormat="1" ht="14.25" customHeight="1" x14ac:dyDescent="0.15">
      <c r="A412" s="118" t="s">
        <v>727</v>
      </c>
      <c r="B412" s="98" t="s">
        <v>2239</v>
      </c>
      <c r="C412" s="143">
        <v>133.41</v>
      </c>
      <c r="D412" s="143">
        <v>12</v>
      </c>
      <c r="E412" s="143">
        <v>7884</v>
      </c>
      <c r="F412" s="62">
        <f t="shared" ref="F412:F413" si="929">E412/$E$406</f>
        <v>7.2184647669518098E-2</v>
      </c>
      <c r="G412" s="143">
        <v>10066</v>
      </c>
      <c r="H412" s="27">
        <f t="shared" ref="H412:H413" si="930">IF(OR(E412=G412,AND(E412="",G412=0),AND(E412=0,G412="")),0%,IF(OR(G412="",G412=0),100%,(E412-G412)/ABS(G412)))</f>
        <v>-0.21676932247168687</v>
      </c>
      <c r="I412" s="35">
        <f t="shared" ref="I412:I413" si="931">IF(OR(D412=0,D412=""),0,E412/D412)</f>
        <v>657</v>
      </c>
      <c r="J412" s="70">
        <f t="shared" ref="J412:J413" si="932">E412/C412</f>
        <v>59.096019788621547</v>
      </c>
    </row>
    <row r="413" spans="1:11" s="11" customFormat="1" ht="14.25" customHeight="1" x14ac:dyDescent="0.15">
      <c r="A413" s="118" t="s">
        <v>1851</v>
      </c>
      <c r="B413" s="98" t="s">
        <v>2240</v>
      </c>
      <c r="C413" s="143">
        <v>209.69</v>
      </c>
      <c r="D413" s="143">
        <v>94</v>
      </c>
      <c r="E413" s="143">
        <v>14255.3</v>
      </c>
      <c r="F413" s="62">
        <f t="shared" si="929"/>
        <v>0.13051925519067495</v>
      </c>
      <c r="G413" s="143">
        <v>16090</v>
      </c>
      <c r="H413" s="27">
        <f t="shared" si="930"/>
        <v>-0.11402734617775021</v>
      </c>
      <c r="I413" s="35">
        <f t="shared" si="931"/>
        <v>151.65212765957446</v>
      </c>
      <c r="J413" s="70">
        <f t="shared" si="932"/>
        <v>67.982736420430157</v>
      </c>
    </row>
    <row r="414" spans="1:11" s="11" customFormat="1" ht="14.25" customHeight="1" x14ac:dyDescent="0.15">
      <c r="A414" s="118" t="s">
        <v>1769</v>
      </c>
      <c r="B414" s="98" t="s">
        <v>2241</v>
      </c>
      <c r="C414" s="143">
        <v>15</v>
      </c>
      <c r="D414" s="143">
        <v>7</v>
      </c>
      <c r="E414" s="143">
        <v>2758</v>
      </c>
      <c r="F414" s="62">
        <f t="shared" ref="F414" si="933">E414/$E$406</f>
        <v>2.525180850742401E-2</v>
      </c>
      <c r="G414" s="143">
        <v>2190</v>
      </c>
      <c r="H414" s="27">
        <f t="shared" ref="H414" si="934">IF(OR(E414=G414,AND(E414="",G414=0),AND(E414=0,G414="")),0%,IF(OR(G414="",G414=0),100%,(E414-G414)/ABS(G414)))</f>
        <v>0.25936073059360731</v>
      </c>
      <c r="I414" s="35">
        <f t="shared" ref="I414" si="935">IF(OR(D414=0,D414=""),0,E414/D414)</f>
        <v>394</v>
      </c>
      <c r="J414" s="70">
        <f t="shared" ref="J414" si="936">E414/C414</f>
        <v>183.86666666666667</v>
      </c>
    </row>
    <row r="415" spans="1:11" s="11" customFormat="1" ht="14.25" customHeight="1" x14ac:dyDescent="0.15">
      <c r="A415" s="118" t="s">
        <v>362</v>
      </c>
      <c r="B415" s="98" t="s">
        <v>2242</v>
      </c>
      <c r="C415" s="143">
        <v>8.36</v>
      </c>
      <c r="D415" s="143">
        <v>15</v>
      </c>
      <c r="E415" s="143">
        <v>4490</v>
      </c>
      <c r="F415" s="62">
        <f t="shared" ref="F415:F417" si="937">E415/$E$406</f>
        <v>4.1109724509910739E-2</v>
      </c>
      <c r="G415" s="143">
        <v>1836</v>
      </c>
      <c r="H415" s="27">
        <f t="shared" ref="H415:H417" si="938">IF(OR(E415=G415,AND(E415="",G415=0),AND(E415=0,G415="")),0%,IF(OR(G415="",G415=0),100%,(E415-G415)/ABS(G415)))</f>
        <v>1.4455337690631809</v>
      </c>
      <c r="I415" s="35">
        <f t="shared" ref="I415:I417" si="939">IF(OR(D415=0,D415=""),0,E415/D415)</f>
        <v>299.33333333333331</v>
      </c>
      <c r="J415" s="70">
        <f t="shared" ref="J415:J417" si="940">E415/C415</f>
        <v>537.08133971291875</v>
      </c>
    </row>
    <row r="416" spans="1:11" s="11" customFormat="1" ht="14.25" customHeight="1" x14ac:dyDescent="0.15">
      <c r="A416" s="118" t="s">
        <v>363</v>
      </c>
      <c r="B416" s="98" t="s">
        <v>2243</v>
      </c>
      <c r="C416" s="143">
        <v>79.260000000000005</v>
      </c>
      <c r="D416" s="143">
        <v>18</v>
      </c>
      <c r="E416" s="143">
        <v>11525</v>
      </c>
      <c r="F416" s="62">
        <f t="shared" si="937"/>
        <v>0.10552106346920295</v>
      </c>
      <c r="G416" s="143">
        <v>4524</v>
      </c>
      <c r="H416" s="27">
        <f t="shared" si="938"/>
        <v>1.5475243147656941</v>
      </c>
      <c r="I416" s="35">
        <f t="shared" si="939"/>
        <v>640.27777777777783</v>
      </c>
      <c r="J416" s="70">
        <f t="shared" si="940"/>
        <v>145.40751955589198</v>
      </c>
    </row>
    <row r="417" spans="1:11" s="11" customFormat="1" ht="14.25" customHeight="1" x14ac:dyDescent="0.15">
      <c r="A417" s="118" t="s">
        <v>519</v>
      </c>
      <c r="B417" s="98" t="s">
        <v>2446</v>
      </c>
      <c r="C417" s="143">
        <v>270.97000000000003</v>
      </c>
      <c r="D417" s="143">
        <v>2</v>
      </c>
      <c r="E417" s="143">
        <v>1330</v>
      </c>
      <c r="F417" s="62">
        <f t="shared" si="937"/>
        <v>1.2177268061955741E-2</v>
      </c>
      <c r="G417" s="143">
        <v>16258</v>
      </c>
      <c r="H417" s="27">
        <f t="shared" si="938"/>
        <v>-0.91819411981793575</v>
      </c>
      <c r="I417" s="35">
        <f t="shared" si="939"/>
        <v>665</v>
      </c>
      <c r="J417" s="70">
        <f t="shared" si="940"/>
        <v>4.9082924308964087</v>
      </c>
    </row>
    <row r="418" spans="1:11" s="11" customFormat="1" ht="14.25" customHeight="1" x14ac:dyDescent="0.15">
      <c r="A418" s="118" t="s">
        <v>1664</v>
      </c>
      <c r="B418" s="98" t="s">
        <v>2244</v>
      </c>
      <c r="C418" s="143">
        <v>50.66</v>
      </c>
      <c r="D418" s="143">
        <v>2</v>
      </c>
      <c r="E418" s="143">
        <v>1319.2</v>
      </c>
      <c r="F418" s="62">
        <f t="shared" ref="F418:F419" si="941">E418/$E$406</f>
        <v>1.2078384982956401E-2</v>
      </c>
      <c r="G418" s="143">
        <v>1409.4</v>
      </c>
      <c r="H418" s="27">
        <f t="shared" ref="H418:H419" si="942">IF(OR(E418=G418,AND(E418="",G418=0),AND(E418=0,G418="")),0%,IF(OR(G418="",G418=0),100%,(E418-G418)/ABS(G418)))</f>
        <v>-6.3998864765148322E-2</v>
      </c>
      <c r="I418" s="35">
        <f t="shared" ref="I418:I419" si="943">IF(OR(D418=0,D418=""),0,E418/D418)</f>
        <v>659.6</v>
      </c>
      <c r="J418" s="70">
        <f t="shared" ref="J418:J419" si="944">E418/C418</f>
        <v>26.040268456375841</v>
      </c>
    </row>
    <row r="419" spans="1:11" s="11" customFormat="1" ht="14.25" customHeight="1" x14ac:dyDescent="0.15">
      <c r="A419" s="118" t="s">
        <v>1666</v>
      </c>
      <c r="B419" s="98" t="s">
        <v>2245</v>
      </c>
      <c r="C419" s="143">
        <v>46</v>
      </c>
      <c r="D419" s="143">
        <v>2</v>
      </c>
      <c r="E419" s="143">
        <v>1535.3</v>
      </c>
      <c r="F419" s="62">
        <f t="shared" si="941"/>
        <v>1.4056962147008007E-2</v>
      </c>
      <c r="G419" s="143">
        <v>3536.6</v>
      </c>
      <c r="H419" s="27">
        <f t="shared" si="942"/>
        <v>-0.56588248600350621</v>
      </c>
      <c r="I419" s="35">
        <f t="shared" si="943"/>
        <v>767.65</v>
      </c>
      <c r="J419" s="70">
        <f t="shared" si="944"/>
        <v>33.376086956521739</v>
      </c>
    </row>
    <row r="420" spans="1:11" s="11" customFormat="1" ht="14.25" customHeight="1" x14ac:dyDescent="0.15">
      <c r="A420" s="118" t="s">
        <v>379</v>
      </c>
      <c r="B420" s="98" t="s">
        <v>2246</v>
      </c>
      <c r="C420" s="143">
        <v>73</v>
      </c>
      <c r="D420" s="143">
        <v>11</v>
      </c>
      <c r="E420" s="143">
        <v>3320</v>
      </c>
      <c r="F420" s="62">
        <f t="shared" ref="F420" si="945">E420/$E$406</f>
        <v>3.0397390951648919E-2</v>
      </c>
      <c r="G420" s="143">
        <v>3193</v>
      </c>
      <c r="H420" s="27">
        <f t="shared" ref="H420" si="946">IF(OR(E420=G420,AND(E420="",G420=0),AND(E420=0,G420="")),0%,IF(OR(G420="",G420=0),100%,(E420-G420)/ABS(G420)))</f>
        <v>3.9774506733479487E-2</v>
      </c>
      <c r="I420" s="35">
        <f t="shared" ref="I420" si="947">IF(OR(D420=0,D420=""),0,E420/D420)</f>
        <v>301.81818181818181</v>
      </c>
      <c r="J420" s="70">
        <f t="shared" ref="J420" si="948">E420/C420</f>
        <v>45.479452054794521</v>
      </c>
    </row>
    <row r="421" spans="1:11" s="11" customFormat="1" ht="14.25" customHeight="1" x14ac:dyDescent="0.15">
      <c r="A421" s="118" t="s">
        <v>835</v>
      </c>
      <c r="B421" s="98" t="s">
        <v>2247</v>
      </c>
      <c r="C421" s="143">
        <v>73</v>
      </c>
      <c r="D421" s="143">
        <v>8</v>
      </c>
      <c r="E421" s="143">
        <v>3262</v>
      </c>
      <c r="F421" s="62">
        <f t="shared" ref="F421" si="949">E421/$E$406</f>
        <v>2.9866352194059871E-2</v>
      </c>
      <c r="G421" s="143">
        <v>5486</v>
      </c>
      <c r="H421" s="27">
        <f t="shared" ref="H421" si="950">IF(OR(E421=G421,AND(E421="",G421=0),AND(E421=0,G421="")),0%,IF(OR(G421="",G421=0),100%,(E421-G421)/ABS(G421)))</f>
        <v>-0.40539555231498359</v>
      </c>
      <c r="I421" s="35">
        <f t="shared" ref="I421" si="951">IF(OR(D421=0,D421=""),0,E421/D421)</f>
        <v>407.75</v>
      </c>
      <c r="J421" s="70">
        <f t="shared" ref="J421" si="952">E421/C421</f>
        <v>44.684931506849317</v>
      </c>
    </row>
    <row r="422" spans="1:11" s="11" customFormat="1" ht="14.25" customHeight="1" x14ac:dyDescent="0.15">
      <c r="A422" s="118" t="s">
        <v>1790</v>
      </c>
      <c r="B422" s="98" t="s">
        <v>2248</v>
      </c>
      <c r="C422" s="143">
        <v>32</v>
      </c>
      <c r="D422" s="143">
        <v>3</v>
      </c>
      <c r="E422" s="143">
        <v>1436</v>
      </c>
      <c r="F422" s="62">
        <f t="shared" ref="F422" si="953">E422/$E$406</f>
        <v>1.3147787170652967E-2</v>
      </c>
      <c r="G422" s="143">
        <v>228</v>
      </c>
      <c r="H422" s="27">
        <f t="shared" ref="H422" si="954">IF(OR(E422=G422,AND(E422="",G422=0),AND(E422=0,G422="")),0%,IF(OR(G422="",G422=0),100%,(E422-G422)/ABS(G422)))</f>
        <v>5.2982456140350873</v>
      </c>
      <c r="I422" s="35">
        <f t="shared" ref="I422" si="955">IF(OR(D422=0,D422=""),0,E422/D422)</f>
        <v>478.66666666666669</v>
      </c>
      <c r="J422" s="70">
        <f t="shared" ref="J422" si="956">E422/C422</f>
        <v>44.875</v>
      </c>
    </row>
    <row r="423" spans="1:11" s="11" customFormat="1" ht="14.25" customHeight="1" x14ac:dyDescent="0.15">
      <c r="A423" s="118" t="s">
        <v>836</v>
      </c>
      <c r="B423" s="98" t="s">
        <v>2249</v>
      </c>
      <c r="C423" s="143">
        <v>63</v>
      </c>
      <c r="D423" s="143">
        <v>3</v>
      </c>
      <c r="E423" s="143">
        <v>1990</v>
      </c>
      <c r="F423" s="62">
        <f t="shared" ref="F423" si="957">E423/$E$406</f>
        <v>1.8220122889693179E-2</v>
      </c>
      <c r="G423" s="143">
        <v>9783</v>
      </c>
      <c r="H423" s="27">
        <f t="shared" ref="H423" si="958">IF(OR(E423=G423,AND(E423="",G423=0),AND(E423=0,G423="")),0%,IF(OR(G423="",G423=0),100%,(E423-G423)/ABS(G423)))</f>
        <v>-0.79658591434120418</v>
      </c>
      <c r="I423" s="35">
        <f t="shared" ref="I423" si="959">IF(OR(D423=0,D423=""),0,E423/D423)</f>
        <v>663.33333333333337</v>
      </c>
      <c r="J423" s="70">
        <f t="shared" ref="J423" si="960">E423/C423</f>
        <v>31.587301587301589</v>
      </c>
    </row>
    <row r="424" spans="1:11" s="11" customFormat="1" ht="14.25" customHeight="1" x14ac:dyDescent="0.15">
      <c r="A424" s="118" t="s">
        <v>319</v>
      </c>
      <c r="B424" s="98" t="s">
        <v>2250</v>
      </c>
      <c r="C424" s="143">
        <v>77.16</v>
      </c>
      <c r="D424" s="143">
        <v>9</v>
      </c>
      <c r="E424" s="143">
        <v>2585</v>
      </c>
      <c r="F424" s="62">
        <f t="shared" ref="F424" si="961">E424/$E$406</f>
        <v>2.3667848075304955E-2</v>
      </c>
      <c r="G424" s="143">
        <v>2868</v>
      </c>
      <c r="H424" s="27">
        <f t="shared" ref="H424" si="962">IF(OR(E424=G424,AND(E424="",G424=0),AND(E424=0,G424="")),0%,IF(OR(G424="",G424=0),100%,(E424-G424)/ABS(G424)))</f>
        <v>-9.8675034867503481E-2</v>
      </c>
      <c r="I424" s="35">
        <f t="shared" ref="I424" si="963">IF(OR(D424=0,D424=""),0,E424/D424)</f>
        <v>287.22222222222223</v>
      </c>
      <c r="J424" s="70">
        <f t="shared" ref="J424" si="964">E424/C424</f>
        <v>33.501814411612237</v>
      </c>
    </row>
    <row r="425" spans="1:11" s="11" customFormat="1" ht="14.25" customHeight="1" x14ac:dyDescent="0.15">
      <c r="A425" s="118" t="s">
        <v>734</v>
      </c>
      <c r="B425" s="98" t="s">
        <v>2251</v>
      </c>
      <c r="C425" s="143">
        <v>54.91</v>
      </c>
      <c r="D425" s="143">
        <v>7</v>
      </c>
      <c r="E425" s="143">
        <v>2636</v>
      </c>
      <c r="F425" s="62">
        <f t="shared" ref="F425" si="965">E425/$E$406</f>
        <v>2.4134795948357393E-2</v>
      </c>
      <c r="G425" s="143">
        <v>1879</v>
      </c>
      <c r="H425" s="27">
        <f t="shared" ref="H425" si="966">IF(OR(E425=G425,AND(E425="",G425=0),AND(E425=0,G425="")),0%,IF(OR(G425="",G425=0),100%,(E425-G425)/ABS(G425)))</f>
        <v>0.40287386907929751</v>
      </c>
      <c r="I425" s="35">
        <f t="shared" ref="I425" si="967">IF(OR(D425=0,D425=""),0,E425/D425)</f>
        <v>376.57142857142856</v>
      </c>
      <c r="J425" s="70">
        <f t="shared" ref="J425" si="968">E425/C425</f>
        <v>48.005827718084142</v>
      </c>
    </row>
    <row r="426" spans="1:11" s="11" customFormat="1" ht="14.25" customHeight="1" x14ac:dyDescent="0.15">
      <c r="A426" s="118" t="s">
        <v>1676</v>
      </c>
      <c r="B426" s="98" t="s">
        <v>2252</v>
      </c>
      <c r="C426" s="143">
        <v>56.32</v>
      </c>
      <c r="D426" s="143">
        <v>1</v>
      </c>
      <c r="E426" s="143">
        <v>1994</v>
      </c>
      <c r="F426" s="62">
        <f t="shared" ref="F426" si="969">E426/$E$406</f>
        <v>1.8256746252285527E-2</v>
      </c>
      <c r="G426" s="143">
        <v>641</v>
      </c>
      <c r="H426" s="27">
        <f t="shared" ref="H426" si="970">IF(OR(E426=G426,AND(E426="",G426=0),AND(E426=0,G426="")),0%,IF(OR(G426="",G426=0),100%,(E426-G426)/ABS(G426)))</f>
        <v>2.1107644305772233</v>
      </c>
      <c r="I426" s="35">
        <f t="shared" ref="I426" si="971">IF(OR(D426=0,D426=""),0,E426/D426)</f>
        <v>1994</v>
      </c>
      <c r="J426" s="70">
        <f t="shared" ref="J426" si="972">E426/C426</f>
        <v>35.404829545454547</v>
      </c>
    </row>
    <row r="427" spans="1:11" s="11" customFormat="1" ht="14.25" customHeight="1" x14ac:dyDescent="0.15">
      <c r="A427" s="118" t="s">
        <v>819</v>
      </c>
      <c r="B427" s="98" t="s">
        <v>2253</v>
      </c>
      <c r="C427" s="143">
        <v>41.22</v>
      </c>
      <c r="D427" s="143">
        <v>3</v>
      </c>
      <c r="E427" s="143">
        <v>1412</v>
      </c>
      <c r="F427" s="62">
        <f t="shared" ref="F427" si="973">E427/$E$406</f>
        <v>1.2928046995098877E-2</v>
      </c>
      <c r="G427" s="143">
        <v>3593</v>
      </c>
      <c r="H427" s="27">
        <f t="shared" ref="H427" si="974">IF(OR(E427=G427,AND(E427="",G427=0),AND(E427=0,G427="")),0%,IF(OR(G427="",G427=0),100%,(E427-G427)/ABS(G427)))</f>
        <v>-0.60701363762872251</v>
      </c>
      <c r="I427" s="35">
        <f t="shared" ref="I427" si="975">IF(OR(D427=0,D427=""),0,E427/D427)</f>
        <v>470.66666666666669</v>
      </c>
      <c r="J427" s="70">
        <f t="shared" ref="J427" si="976">E427/C427</f>
        <v>34.255215914604562</v>
      </c>
    </row>
    <row r="428" spans="1:11" s="86" customFormat="1" ht="14.25" customHeight="1" x14ac:dyDescent="0.15">
      <c r="A428" s="118" t="s">
        <v>1694</v>
      </c>
      <c r="B428" s="98" t="s">
        <v>2254</v>
      </c>
      <c r="C428" s="143">
        <v>64.260000000000005</v>
      </c>
      <c r="D428" s="143">
        <v>4</v>
      </c>
      <c r="E428" s="143">
        <v>3051</v>
      </c>
      <c r="F428" s="62">
        <f t="shared" ref="F428" si="977">E428/$E$406</f>
        <v>2.7934469817313509E-2</v>
      </c>
      <c r="G428" s="143">
        <v>891</v>
      </c>
      <c r="H428" s="27">
        <f t="shared" ref="H428" si="978">IF(OR(E428=G428,AND(E428="",G428=0),AND(E428=0,G428="")),0%,IF(OR(G428="",G428=0),100%,(E428-G428)/ABS(G428)))</f>
        <v>2.4242424242424243</v>
      </c>
      <c r="I428" s="35">
        <f t="shared" ref="I428" si="979">IF(OR(D428=0,D428=""),0,E428/D428)</f>
        <v>762.75</v>
      </c>
      <c r="J428" s="70">
        <f t="shared" ref="J428" si="980">E428/C428</f>
        <v>47.47899159663865</v>
      </c>
    </row>
    <row r="429" spans="1:11" s="86" customFormat="1" ht="14.25" customHeight="1" x14ac:dyDescent="0.15">
      <c r="A429" s="118" t="s">
        <v>365</v>
      </c>
      <c r="B429" s="98" t="s">
        <v>2255</v>
      </c>
      <c r="C429" s="143">
        <v>89.48</v>
      </c>
      <c r="D429" s="143">
        <v>2</v>
      </c>
      <c r="E429" s="143">
        <v>754</v>
      </c>
      <c r="F429" s="62">
        <f t="shared" ref="F429" si="981">E429/$E$406</f>
        <v>6.9035038486576156E-3</v>
      </c>
      <c r="G429" s="143">
        <v>1114.3</v>
      </c>
      <c r="H429" s="27">
        <f t="shared" ref="H429" si="982">IF(OR(E429=G429,AND(E429="",G429=0),AND(E429=0,G429="")),0%,IF(OR(G429="",G429=0),100%,(E429-G429)/ABS(G429)))</f>
        <v>-0.32334200843578925</v>
      </c>
      <c r="I429" s="35">
        <f t="shared" ref="I429" si="983">IF(OR(D429=0,D429=""),0,E429/D429)</f>
        <v>377</v>
      </c>
      <c r="J429" s="70">
        <f t="shared" ref="J429" si="984">E429/C429</f>
        <v>8.426464014304873</v>
      </c>
    </row>
    <row r="430" spans="1:11" s="86" customFormat="1" ht="14.25" customHeight="1" x14ac:dyDescent="0.15">
      <c r="A430" s="118" t="s">
        <v>891</v>
      </c>
      <c r="B430" s="98" t="s">
        <v>2232</v>
      </c>
      <c r="C430" s="143">
        <v>86.18</v>
      </c>
      <c r="D430" s="143">
        <v>6</v>
      </c>
      <c r="E430" s="143">
        <v>1781</v>
      </c>
      <c r="F430" s="62">
        <f t="shared" ref="F430" si="985">E430/$E$406</f>
        <v>1.6306552194242988E-2</v>
      </c>
      <c r="G430" s="143">
        <v>3113</v>
      </c>
      <c r="H430" s="27">
        <f t="shared" ref="H430:H437" si="986">IF(OR(E430=G430,AND(E430="",G430=0),AND(E430=0,G430="")),0%,IF(OR(G430="",G430=0),100%,(E430-G430)/ABS(G430)))</f>
        <v>-0.42788307099261164</v>
      </c>
      <c r="I430" s="35">
        <f t="shared" ref="I430:I437" si="987">IF(OR(D430=0,D430=""),0,E430/D430)</f>
        <v>296.83333333333331</v>
      </c>
      <c r="J430" s="70">
        <f t="shared" ref="J430:J437" si="988">E430/C430</f>
        <v>20.666047806915756</v>
      </c>
    </row>
    <row r="431" spans="1:11" ht="14.25" customHeight="1" x14ac:dyDescent="0.15">
      <c r="A431" s="118" t="s">
        <v>133</v>
      </c>
      <c r="B431" s="98" t="s">
        <v>2256</v>
      </c>
      <c r="C431" s="143">
        <v>103.97</v>
      </c>
      <c r="D431" s="143">
        <v>18</v>
      </c>
      <c r="E431" s="143">
        <v>6840</v>
      </c>
      <c r="F431" s="62">
        <f>E431/$E$406</f>
        <v>6.262595003291524E-2</v>
      </c>
      <c r="G431" s="143">
        <v>3881</v>
      </c>
      <c r="H431" s="27">
        <f t="shared" si="986"/>
        <v>0.76243236279309456</v>
      </c>
      <c r="I431" s="35">
        <f t="shared" si="987"/>
        <v>380</v>
      </c>
      <c r="J431" s="70">
        <f t="shared" si="988"/>
        <v>65.788208136962581</v>
      </c>
      <c r="K431" s="86"/>
    </row>
    <row r="432" spans="1:11" s="86" customFormat="1" ht="14.25" customHeight="1" x14ac:dyDescent="0.15">
      <c r="A432" s="118" t="s">
        <v>1020</v>
      </c>
      <c r="B432" s="98" t="s">
        <v>2257</v>
      </c>
      <c r="C432" s="143">
        <v>164</v>
      </c>
      <c r="D432" s="143">
        <v>4</v>
      </c>
      <c r="E432" s="143">
        <v>528</v>
      </c>
      <c r="F432" s="62">
        <f>E432/$E$406</f>
        <v>4.8342838621899488E-3</v>
      </c>
      <c r="G432" s="143">
        <v>4132</v>
      </c>
      <c r="H432" s="27">
        <f t="shared" ref="H432" si="989">IF(OR(E432=G432,AND(E432="",G432=0),AND(E432=0,G432="")),0%,IF(OR(G432="",G432=0),100%,(E432-G432)/ABS(G432)))</f>
        <v>-0.87221684414327205</v>
      </c>
      <c r="I432" s="35">
        <f t="shared" ref="I432" si="990">IF(OR(D432=0,D432=""),0,E432/D432)</f>
        <v>132</v>
      </c>
      <c r="J432" s="70">
        <f t="shared" ref="J432" si="991">E432/C432</f>
        <v>3.2195121951219514</v>
      </c>
    </row>
    <row r="433" spans="1:10" s="86" customFormat="1" ht="14.25" customHeight="1" x14ac:dyDescent="0.15">
      <c r="A433" s="118" t="s">
        <v>1737</v>
      </c>
      <c r="B433" s="98" t="s">
        <v>2258</v>
      </c>
      <c r="C433" s="143">
        <v>70.84</v>
      </c>
      <c r="D433" s="143">
        <v>1</v>
      </c>
      <c r="E433" s="143">
        <v>1949</v>
      </c>
      <c r="F433" s="62">
        <f>E433/$E$406</f>
        <v>1.7844733423121609E-2</v>
      </c>
      <c r="G433" s="143">
        <v>1797</v>
      </c>
      <c r="H433" s="27">
        <f t="shared" ref="H433" si="992">IF(OR(E433=G433,AND(E433="",G433=0),AND(E433=0,G433="")),0%,IF(OR(G433="",G433=0),100%,(E433-G433)/ABS(G433)))</f>
        <v>8.4585420144685591E-2</v>
      </c>
      <c r="I433" s="35">
        <f t="shared" ref="I433" si="993">IF(OR(D433=0,D433=""),0,E433/D433)</f>
        <v>1949</v>
      </c>
      <c r="J433" s="70">
        <f t="shared" ref="J433" si="994">E433/C433</f>
        <v>27.512704686617727</v>
      </c>
    </row>
    <row r="434" spans="1:10" s="86" customFormat="1" ht="14.25" customHeight="1" x14ac:dyDescent="0.15">
      <c r="A434" s="118" t="s">
        <v>988</v>
      </c>
      <c r="B434" s="98" t="s">
        <v>2259</v>
      </c>
      <c r="C434" s="143">
        <v>384.3</v>
      </c>
      <c r="D434" s="143"/>
      <c r="E434" s="143"/>
      <c r="F434" s="62">
        <f>E434/$E$406</f>
        <v>0</v>
      </c>
      <c r="G434" s="143">
        <v>10000</v>
      </c>
      <c r="H434" s="27">
        <f t="shared" ref="H434" si="995">IF(OR(E434=G434,AND(E434="",G434=0),AND(E434=0,G434="")),0%,IF(OR(G434="",G434=0),100%,(E434-G434)/ABS(G434)))</f>
        <v>-1</v>
      </c>
      <c r="I434" s="35">
        <f t="shared" ref="I434" si="996">IF(OR(D434=0,D434=""),0,E434/D434)</f>
        <v>0</v>
      </c>
      <c r="J434" s="70">
        <f t="shared" ref="J434" si="997">E434/C434</f>
        <v>0</v>
      </c>
    </row>
    <row r="435" spans="1:10" s="86" customFormat="1" ht="14.25" customHeight="1" x14ac:dyDescent="0.15">
      <c r="A435" s="118" t="s">
        <v>972</v>
      </c>
      <c r="B435" s="98" t="s">
        <v>2260</v>
      </c>
      <c r="C435" s="143">
        <v>54.6</v>
      </c>
      <c r="D435" s="143">
        <v>4</v>
      </c>
      <c r="E435" s="143">
        <v>3312</v>
      </c>
      <c r="F435" s="62">
        <f t="shared" ref="F435:F437" si="998">E435/$E$406</f>
        <v>3.0324144226464223E-2</v>
      </c>
      <c r="G435" s="143">
        <v>5052</v>
      </c>
      <c r="H435" s="27">
        <f t="shared" si="986"/>
        <v>-0.34441805225653205</v>
      </c>
      <c r="I435" s="35">
        <f t="shared" si="987"/>
        <v>828</v>
      </c>
      <c r="J435" s="70">
        <f t="shared" si="988"/>
        <v>60.659340659340657</v>
      </c>
    </row>
    <row r="436" spans="1:10" s="86" customFormat="1" ht="14.25" customHeight="1" x14ac:dyDescent="0.15">
      <c r="A436" s="118" t="s">
        <v>1042</v>
      </c>
      <c r="B436" s="98" t="s">
        <v>2261</v>
      </c>
      <c r="C436" s="143">
        <v>95.3</v>
      </c>
      <c r="D436" s="143">
        <v>45</v>
      </c>
      <c r="E436" s="143">
        <v>4098</v>
      </c>
      <c r="F436" s="62">
        <f t="shared" si="998"/>
        <v>3.7520634975860626E-2</v>
      </c>
      <c r="G436" s="143">
        <v>4421</v>
      </c>
      <c r="H436" s="27">
        <f t="shared" si="986"/>
        <v>-7.3060393576114005E-2</v>
      </c>
      <c r="I436" s="35">
        <f t="shared" si="987"/>
        <v>91.066666666666663</v>
      </c>
      <c r="J436" s="70">
        <f t="shared" si="988"/>
        <v>43.001049317943341</v>
      </c>
    </row>
    <row r="437" spans="1:10" ht="14.25" customHeight="1" x14ac:dyDescent="0.15">
      <c r="A437" s="118" t="s">
        <v>356</v>
      </c>
      <c r="B437" s="98" t="s">
        <v>2262</v>
      </c>
      <c r="C437" s="143">
        <v>20</v>
      </c>
      <c r="D437" s="143">
        <v>17</v>
      </c>
      <c r="E437" s="143">
        <v>1184</v>
      </c>
      <c r="F437" s="62">
        <f t="shared" si="998"/>
        <v>1.0840515327335036E-2</v>
      </c>
      <c r="G437" s="143">
        <v>1215</v>
      </c>
      <c r="H437" s="27">
        <f t="shared" si="986"/>
        <v>-2.5514403292181069E-2</v>
      </c>
      <c r="I437" s="35">
        <f t="shared" si="987"/>
        <v>69.647058823529406</v>
      </c>
      <c r="J437" s="70">
        <f t="shared" si="988"/>
        <v>59.2</v>
      </c>
    </row>
    <row r="438" spans="1:10" s="86" customFormat="1" ht="14.25" customHeight="1" x14ac:dyDescent="0.15">
      <c r="A438" s="176" t="s">
        <v>546</v>
      </c>
      <c r="B438" s="177" t="s">
        <v>2447</v>
      </c>
      <c r="C438" s="178">
        <v>40</v>
      </c>
      <c r="D438" s="178">
        <v>6</v>
      </c>
      <c r="E438" s="178">
        <v>1440</v>
      </c>
      <c r="F438" s="196">
        <f t="shared" ref="F438" si="999">E438/$E$406</f>
        <v>1.3184410533245315E-2</v>
      </c>
      <c r="G438" s="178">
        <v>1410</v>
      </c>
      <c r="H438" s="179">
        <f t="shared" ref="H438" si="1000">IF(OR(E438=G438,AND(E438="",G438=0),AND(E438=0,G438="")),0%,IF(OR(G438="",G438=0),100%,(E438-G438)/ABS(G438)))</f>
        <v>2.1276595744680851E-2</v>
      </c>
      <c r="I438" s="180">
        <f t="shared" ref="I438" si="1001">IF(OR(D438=0,D438=""),0,E438/D438)</f>
        <v>240</v>
      </c>
      <c r="J438" s="181">
        <f t="shared" ref="J438" si="1002">E438/C438</f>
        <v>36</v>
      </c>
    </row>
    <row r="439" spans="1:10" s="86" customFormat="1" ht="14.25" customHeight="1" x14ac:dyDescent="0.15">
      <c r="A439" s="176" t="s">
        <v>740</v>
      </c>
      <c r="B439" s="177" t="s">
        <v>2448</v>
      </c>
      <c r="C439" s="178">
        <v>11</v>
      </c>
      <c r="D439" s="178">
        <v>1</v>
      </c>
      <c r="E439" s="178">
        <v>318</v>
      </c>
      <c r="F439" s="196">
        <f>E439/$E$406</f>
        <v>2.9115573260916736E-3</v>
      </c>
      <c r="G439" s="178">
        <v>606</v>
      </c>
      <c r="H439" s="179">
        <f t="shared" ref="H439" si="1003">IF(OR(E439=G439,AND(E439="",G439=0),AND(E439=0,G439="")),0%,IF(OR(G439="",G439=0),100%,(E439-G439)/ABS(G439)))</f>
        <v>-0.47524752475247523</v>
      </c>
      <c r="I439" s="180">
        <f t="shared" ref="I439" si="1004">IF(OR(D439=0,D439=""),0,E439/D439)</f>
        <v>318</v>
      </c>
      <c r="J439" s="181">
        <f t="shared" ref="J439" si="1005">E439/C439</f>
        <v>28.90909090909091</v>
      </c>
    </row>
    <row r="440" spans="1:10" s="86" customFormat="1" ht="14.25" customHeight="1" x14ac:dyDescent="0.15">
      <c r="A440" s="176" t="s">
        <v>853</v>
      </c>
      <c r="B440" s="177" t="s">
        <v>2352</v>
      </c>
      <c r="C440" s="178">
        <v>6</v>
      </c>
      <c r="D440" s="178"/>
      <c r="E440" s="178"/>
      <c r="F440" s="196">
        <f>E440/$E$406</f>
        <v>0</v>
      </c>
      <c r="G440" s="178"/>
      <c r="H440" s="179">
        <f t="shared" ref="H440" si="1006">IF(OR(E440=G440,AND(E440="",G440=0),AND(E440=0,G440="")),0%,IF(OR(G440="",G440=0),100%,(E440-G440)/ABS(G440)))</f>
        <v>0</v>
      </c>
      <c r="I440" s="180">
        <f t="shared" ref="I440" si="1007">IF(OR(D440=0,D440=""),0,E440/D440)</f>
        <v>0</v>
      </c>
      <c r="J440" s="181">
        <f t="shared" ref="J440" si="1008">E440/C440</f>
        <v>0</v>
      </c>
    </row>
    <row r="441" spans="1:10" s="86" customFormat="1" ht="14.25" customHeight="1" x14ac:dyDescent="0.15">
      <c r="A441" s="297" t="s">
        <v>1801</v>
      </c>
      <c r="B441" s="177" t="s">
        <v>2263</v>
      </c>
      <c r="C441" s="178">
        <v>28</v>
      </c>
      <c r="D441" s="178">
        <v>8</v>
      </c>
      <c r="E441" s="178">
        <v>2204.3000000000002</v>
      </c>
      <c r="F441" s="196">
        <f>E441/$E$406</f>
        <v>2.0182219540578229E-2</v>
      </c>
      <c r="G441" s="178">
        <v>953.1</v>
      </c>
      <c r="H441" s="179">
        <f t="shared" ref="H441" si="1009">IF(OR(E441=G441,AND(E441="",G441=0),AND(E441=0,G441="")),0%,IF(OR(G441="",G441=0),100%,(E441-G441)/ABS(G441)))</f>
        <v>1.3127688595110694</v>
      </c>
      <c r="I441" s="180">
        <f t="shared" ref="I441" si="1010">IF(OR(D441=0,D441=""),0,E441/D441)</f>
        <v>275.53750000000002</v>
      </c>
      <c r="J441" s="181">
        <f t="shared" ref="J441" si="1011">E441/C441</f>
        <v>78.725000000000009</v>
      </c>
    </row>
    <row r="442" spans="1:10" s="86" customFormat="1" ht="14.25" customHeight="1" x14ac:dyDescent="0.15">
      <c r="A442" s="297" t="s">
        <v>1092</v>
      </c>
      <c r="B442" s="177" t="s">
        <v>2264</v>
      </c>
      <c r="C442" s="178">
        <v>28</v>
      </c>
      <c r="D442" s="178">
        <v>37</v>
      </c>
      <c r="E442" s="178">
        <v>1929</v>
      </c>
      <c r="F442" s="196">
        <f>E442/$E$406</f>
        <v>1.7661616610159869E-2</v>
      </c>
      <c r="G442" s="178">
        <v>3014</v>
      </c>
      <c r="H442" s="179">
        <f t="shared" ref="H442" si="1012">IF(OR(E442=G442,AND(E442="",G442=0),AND(E442=0,G442="")),0%,IF(OR(G442="",G442=0),100%,(E442-G442)/ABS(G442)))</f>
        <v>-0.3599867285998673</v>
      </c>
      <c r="I442" s="180">
        <f t="shared" ref="I442" si="1013">IF(OR(D442=0,D442=""),0,E442/D442)</f>
        <v>52.135135135135137</v>
      </c>
      <c r="J442" s="181">
        <f t="shared" ref="J442" si="1014">E442/C442</f>
        <v>68.892857142857139</v>
      </c>
    </row>
    <row r="443" spans="1:10" s="86" customFormat="1" ht="14.25" customHeight="1" x14ac:dyDescent="0.15">
      <c r="A443" s="298" t="s">
        <v>1673</v>
      </c>
      <c r="B443" s="97" t="s">
        <v>2265</v>
      </c>
      <c r="C443" s="164">
        <v>73</v>
      </c>
      <c r="D443" s="164">
        <v>23</v>
      </c>
      <c r="E443" s="164">
        <v>2378</v>
      </c>
      <c r="F443" s="114">
        <f>E443/$E$406</f>
        <v>2.1772589061150944E-2</v>
      </c>
      <c r="G443" s="164">
        <v>3711</v>
      </c>
      <c r="H443" s="29">
        <f t="shared" ref="H443" si="1015">IF(OR(E443=G443,AND(E443="",G443=0),AND(E443=0,G443="")),0%,IF(OR(G443="",G443=0),100%,(E443-G443)/ABS(G443)))</f>
        <v>-0.35920237132848287</v>
      </c>
      <c r="I443" s="36">
        <f t="shared" ref="I443" si="1016">IF(OR(D443=0,D443=""),0,E443/D443)</f>
        <v>103.39130434782609</v>
      </c>
      <c r="J443" s="71">
        <f t="shared" ref="J443" si="1017">E443/C443</f>
        <v>32.575342465753423</v>
      </c>
    </row>
    <row r="444" spans="1:10" ht="14.25" customHeight="1" x14ac:dyDescent="0.15">
      <c r="C444"/>
      <c r="D444"/>
      <c r="H444"/>
    </row>
    <row r="445" spans="1:10" ht="14.25" customHeight="1" x14ac:dyDescent="0.15">
      <c r="A445" s="328" t="s">
        <v>81</v>
      </c>
      <c r="B445" s="329"/>
      <c r="C445" s="329"/>
      <c r="D445" s="329"/>
      <c r="E445" s="329"/>
      <c r="F445" s="329"/>
      <c r="G445" s="329"/>
      <c r="H445" s="329"/>
      <c r="I445" s="329"/>
      <c r="J445" s="330"/>
    </row>
    <row r="446" spans="1:10" ht="14.25" customHeight="1" x14ac:dyDescent="0.15">
      <c r="A446" s="48" t="s">
        <v>116</v>
      </c>
      <c r="B446" s="49" t="s">
        <v>69</v>
      </c>
      <c r="C446" s="145" t="s">
        <v>70</v>
      </c>
      <c r="D446" s="162" t="s">
        <v>71</v>
      </c>
      <c r="E446" s="50" t="s">
        <v>72</v>
      </c>
      <c r="F446" s="49" t="s">
        <v>73</v>
      </c>
      <c r="G446" s="49" t="s">
        <v>74</v>
      </c>
      <c r="H446" s="51" t="s">
        <v>75</v>
      </c>
      <c r="I446" s="51" t="s">
        <v>76</v>
      </c>
      <c r="J446" s="52" t="s">
        <v>77</v>
      </c>
    </row>
    <row r="447" spans="1:10" ht="14.25" customHeight="1" x14ac:dyDescent="0.15">
      <c r="A447" s="47" t="s">
        <v>78</v>
      </c>
      <c r="B447" s="45"/>
      <c r="C447" s="146">
        <f>SUM(C448:C449)</f>
        <v>455.18999999999994</v>
      </c>
      <c r="D447" s="146">
        <f>SUM(D448:D449)</f>
        <v>5</v>
      </c>
      <c r="E447" s="46">
        <f>SUM(E448:E449)</f>
        <v>2410</v>
      </c>
      <c r="F447" s="105">
        <v>1</v>
      </c>
      <c r="G447" s="46">
        <f>SUM(G448:G449)</f>
        <v>5423</v>
      </c>
      <c r="H447" s="44">
        <f t="shared" ref="H447:H449" si="1018">IF(OR(E447=G447,AND(E447="",G447=0),AND(E447=0,G447="")),0%,IF(OR(G447="",G447=0),100%,(E447-G447)/ABS(G447)))</f>
        <v>-0.55559653328416003</v>
      </c>
      <c r="I447" s="79">
        <f t="shared" ref="I447" si="1019">IF(OR(D447=0,D447=""),0,E447/D447)</f>
        <v>482</v>
      </c>
      <c r="J447" s="72">
        <f>E447/C447</f>
        <v>5.2944924097629569</v>
      </c>
    </row>
    <row r="448" spans="1:10" ht="14.25" customHeight="1" x14ac:dyDescent="0.3">
      <c r="A448" s="128" t="s">
        <v>837</v>
      </c>
      <c r="B448" s="177" t="s">
        <v>2266</v>
      </c>
      <c r="C448" s="178">
        <v>257.77999999999997</v>
      </c>
      <c r="D448" s="178">
        <v>3</v>
      </c>
      <c r="E448" s="178">
        <v>60</v>
      </c>
      <c r="F448" s="62">
        <f>IFERROR(E448/$E$447,"")</f>
        <v>2.4896265560165973E-2</v>
      </c>
      <c r="G448" s="178">
        <v>60</v>
      </c>
      <c r="H448" s="27">
        <f t="shared" si="1018"/>
        <v>0</v>
      </c>
      <c r="I448" s="35">
        <f t="shared" ref="I448:I449" si="1020">IF(OR(D448=0,D448=""),0,E448/D448)</f>
        <v>20</v>
      </c>
      <c r="J448" s="70">
        <f>E448/C448</f>
        <v>0.23275661416711926</v>
      </c>
    </row>
    <row r="449" spans="1:11" ht="14.25" customHeight="1" x14ac:dyDescent="0.15">
      <c r="A449" s="124" t="s">
        <v>134</v>
      </c>
      <c r="B449" s="97" t="s">
        <v>2267</v>
      </c>
      <c r="C449" s="164">
        <v>197.41</v>
      </c>
      <c r="D449" s="164">
        <v>2</v>
      </c>
      <c r="E449" s="164">
        <v>2350</v>
      </c>
      <c r="F449" s="114">
        <f>IFERROR(E449/$E$447,"")</f>
        <v>0.975103734439834</v>
      </c>
      <c r="G449" s="164">
        <v>5363</v>
      </c>
      <c r="H449" s="29">
        <f t="shared" si="1018"/>
        <v>-0.56181241842252472</v>
      </c>
      <c r="I449" s="36">
        <f t="shared" si="1020"/>
        <v>1175</v>
      </c>
      <c r="J449" s="69">
        <f>E449/C449</f>
        <v>11.90415885720075</v>
      </c>
    </row>
    <row r="450" spans="1:11" ht="14.25" customHeight="1" x14ac:dyDescent="0.15"/>
    <row r="451" spans="1:11" ht="14.25" customHeight="1" x14ac:dyDescent="0.15">
      <c r="A451" s="322" t="s">
        <v>82</v>
      </c>
      <c r="B451" s="323"/>
      <c r="C451" s="323"/>
      <c r="D451" s="323"/>
      <c r="E451" s="323"/>
      <c r="F451" s="323"/>
      <c r="G451" s="323"/>
      <c r="H451" s="323"/>
      <c r="I451" s="323"/>
      <c r="J451" s="324"/>
    </row>
    <row r="452" spans="1:11" ht="14.25" customHeight="1" x14ac:dyDescent="0.15">
      <c r="A452" s="48" t="s">
        <v>116</v>
      </c>
      <c r="B452" s="49" t="s">
        <v>69</v>
      </c>
      <c r="C452" s="145" t="s">
        <v>83</v>
      </c>
      <c r="D452" s="162" t="s">
        <v>84</v>
      </c>
      <c r="E452" s="50" t="s">
        <v>85</v>
      </c>
      <c r="F452" s="49" t="s">
        <v>86</v>
      </c>
      <c r="G452" s="49" t="s">
        <v>87</v>
      </c>
      <c r="H452" s="51" t="s">
        <v>88</v>
      </c>
      <c r="I452" s="51" t="s">
        <v>89</v>
      </c>
      <c r="J452" s="52" t="s">
        <v>90</v>
      </c>
    </row>
    <row r="453" spans="1:11" ht="14.25" customHeight="1" x14ac:dyDescent="0.15">
      <c r="A453" s="47" t="s">
        <v>91</v>
      </c>
      <c r="B453" s="45"/>
      <c r="C453" s="146">
        <f>SUM(C454:C455)</f>
        <v>2490.98</v>
      </c>
      <c r="D453" s="146">
        <f>SUM(D454:D455)</f>
        <v>0</v>
      </c>
      <c r="E453" s="46">
        <f>SUM(E454:E455)</f>
        <v>0</v>
      </c>
      <c r="F453" s="105">
        <v>1</v>
      </c>
      <c r="G453" s="46">
        <f>SUM(G454:G455)</f>
        <v>0</v>
      </c>
      <c r="H453" s="44">
        <f t="shared" ref="H453:H455" si="1021">IF(OR(E453=G453,AND(E453="",G453=0),AND(E453=0,G453="")),0%,IF(OR(G453="",G453=0),100%,(E453-G453)/ABS(G453)))</f>
        <v>0</v>
      </c>
      <c r="I453" s="79">
        <f t="shared" ref="I453" si="1022">IF(OR(D453=0,D453=""),0,E453/D453)</f>
        <v>0</v>
      </c>
      <c r="J453" s="72">
        <f t="shared" ref="J453:J455" si="1023">E453/C453</f>
        <v>0</v>
      </c>
    </row>
    <row r="454" spans="1:11" s="86" customFormat="1" ht="14.25" customHeight="1" x14ac:dyDescent="0.3">
      <c r="A454" s="128" t="s">
        <v>210</v>
      </c>
      <c r="B454" s="98" t="s">
        <v>2268</v>
      </c>
      <c r="C454" s="143">
        <v>1565.07</v>
      </c>
      <c r="D454" s="143"/>
      <c r="E454" s="143"/>
      <c r="F454" s="62" t="str">
        <f t="shared" ref="F454:F455" si="1024">IFERROR(E454/$E$453,"")</f>
        <v/>
      </c>
      <c r="G454" s="143"/>
      <c r="H454" s="27">
        <f t="shared" ref="H454" si="1025">IF(OR(E454=G454,AND(E454="",G454=0),AND(E454=0,G454="")),0%,IF(OR(G454="",G454=0),100%,(E454-G454)/ABS(G454)))</f>
        <v>0</v>
      </c>
      <c r="I454" s="35">
        <f t="shared" ref="I454" si="1026">IF(OR(D454=0,D454=""),0,E454/D454)</f>
        <v>0</v>
      </c>
      <c r="J454" s="70">
        <f t="shared" ref="J454" si="1027">E454/C454</f>
        <v>0</v>
      </c>
    </row>
    <row r="455" spans="1:11" ht="14.25" customHeight="1" x14ac:dyDescent="0.15">
      <c r="A455" s="124" t="s">
        <v>135</v>
      </c>
      <c r="B455" s="97" t="s">
        <v>2269</v>
      </c>
      <c r="C455" s="164">
        <v>925.91</v>
      </c>
      <c r="D455" s="164"/>
      <c r="E455" s="164"/>
      <c r="F455" s="114" t="str">
        <f t="shared" si="1024"/>
        <v/>
      </c>
      <c r="G455" s="164"/>
      <c r="H455" s="29">
        <f t="shared" si="1021"/>
        <v>0</v>
      </c>
      <c r="I455" s="36">
        <f t="shared" ref="I455" si="1028">IF(OR(D455=0,D455=""),0,E455/D455)</f>
        <v>0</v>
      </c>
      <c r="J455" s="71">
        <f t="shared" si="1023"/>
        <v>0</v>
      </c>
    </row>
    <row r="456" spans="1:11" ht="14.25" customHeight="1" x14ac:dyDescent="0.15"/>
    <row r="457" spans="1:11" s="86" customFormat="1" ht="14.25" customHeight="1" x14ac:dyDescent="0.15">
      <c r="A457" s="319" t="s">
        <v>92</v>
      </c>
      <c r="B457" s="320"/>
      <c r="C457" s="320"/>
      <c r="D457" s="320"/>
      <c r="E457" s="320"/>
      <c r="F457" s="320"/>
      <c r="G457" s="320"/>
      <c r="H457" s="320"/>
      <c r="I457" s="320"/>
      <c r="J457" s="321"/>
    </row>
    <row r="458" spans="1:11" ht="14.25" customHeight="1" x14ac:dyDescent="0.15">
      <c r="A458" s="56" t="s">
        <v>116</v>
      </c>
      <c r="B458" s="57" t="s">
        <v>56</v>
      </c>
      <c r="C458" s="138" t="s">
        <v>57</v>
      </c>
      <c r="D458" s="157" t="s">
        <v>58</v>
      </c>
      <c r="E458" s="58" t="s">
        <v>59</v>
      </c>
      <c r="F458" s="57" t="s">
        <v>105</v>
      </c>
      <c r="G458" s="57" t="s">
        <v>60</v>
      </c>
      <c r="H458" s="59" t="s">
        <v>61</v>
      </c>
      <c r="I458" s="59" t="s">
        <v>62</v>
      </c>
      <c r="J458" s="60" t="s">
        <v>63</v>
      </c>
    </row>
    <row r="459" spans="1:11" ht="14.25" customHeight="1" x14ac:dyDescent="0.15">
      <c r="A459" s="53" t="s">
        <v>93</v>
      </c>
      <c r="B459" s="54"/>
      <c r="C459" s="147">
        <f>SUM(C460:C581)</f>
        <v>22113.379999999994</v>
      </c>
      <c r="D459" s="147">
        <f>SUM(D460:D581)</f>
        <v>11433</v>
      </c>
      <c r="E459" s="55">
        <f>SUM(E460:E581)</f>
        <v>1157296.3699999999</v>
      </c>
      <c r="F459" s="106">
        <f>SUM(F460:F581)</f>
        <v>1.0000000000000007</v>
      </c>
      <c r="G459" s="55">
        <f>SUM(G460:G581)</f>
        <v>1170858.2699999998</v>
      </c>
      <c r="H459" s="112">
        <f t="shared" ref="H459:H563" si="1029">IF(OR(E459=G459,AND(E459="",G459=0),AND(E459=0,G459="")),0%,IF(OR(G459="",G459=0),100%,(E459-G459)/ABS(G459)))</f>
        <v>-1.1582870743185604E-2</v>
      </c>
      <c r="I459" s="55">
        <f t="shared" ref="I459:I563" si="1030">IF(OR(D459=0,D459=""),0,E459/D459)</f>
        <v>101.22420799440216</v>
      </c>
      <c r="J459" s="73">
        <f>E459/C459</f>
        <v>52.334666613606792</v>
      </c>
    </row>
    <row r="460" spans="1:11" s="86" customFormat="1" ht="14.25" customHeight="1" x14ac:dyDescent="0.15">
      <c r="A460" s="134" t="s">
        <v>212</v>
      </c>
      <c r="B460" s="98" t="s">
        <v>2449</v>
      </c>
      <c r="C460" s="143">
        <v>182.88</v>
      </c>
      <c r="D460" s="143">
        <v>659</v>
      </c>
      <c r="E460" s="143">
        <v>30075.5</v>
      </c>
      <c r="F460" s="62">
        <f>E460/$E$459</f>
        <v>2.5987725166717671E-2</v>
      </c>
      <c r="G460" s="143">
        <v>27341.5</v>
      </c>
      <c r="H460" s="27">
        <f t="shared" ref="H460" si="1031">IF(OR(E460=G460,AND(E460="",G460=0),AND(E460=0,G460="")),0%,IF(OR(G460="",G460=0),100%,(E460-G460)/ABS(G460)))</f>
        <v>9.9994513834281221E-2</v>
      </c>
      <c r="I460" s="35">
        <f t="shared" ref="I460" si="1032">IF(OR(D460=0,D460=""),0,E460/D460)</f>
        <v>45.638088012139605</v>
      </c>
      <c r="J460" s="68">
        <f t="shared" ref="J460" si="1033">E460/C460</f>
        <v>164.45483377077866</v>
      </c>
      <c r="K460" s="1"/>
    </row>
    <row r="461" spans="1:11" s="86" customFormat="1" ht="14.25" customHeight="1" x14ac:dyDescent="0.15">
      <c r="A461" s="118" t="s">
        <v>723</v>
      </c>
      <c r="B461" s="98" t="s">
        <v>2270</v>
      </c>
      <c r="C461" s="143">
        <v>183</v>
      </c>
      <c r="D461" s="143">
        <v>92</v>
      </c>
      <c r="E461" s="143">
        <v>7026.4</v>
      </c>
      <c r="F461" s="62">
        <f>E461/$E$459</f>
        <v>6.0713920670121867E-3</v>
      </c>
      <c r="G461" s="143">
        <v>7790.36</v>
      </c>
      <c r="H461" s="27">
        <f t="shared" si="1029"/>
        <v>-9.8064787763338282E-2</v>
      </c>
      <c r="I461" s="143">
        <f t="shared" si="1030"/>
        <v>76.373913043478254</v>
      </c>
      <c r="J461" s="70">
        <f t="shared" ref="J461:J494" si="1034">E461/C461</f>
        <v>38.395628415300543</v>
      </c>
      <c r="K461" s="1"/>
    </row>
    <row r="462" spans="1:11" ht="14.25" customHeight="1" x14ac:dyDescent="0.15">
      <c r="A462" s="134" t="s">
        <v>357</v>
      </c>
      <c r="B462" s="98" t="s">
        <v>2271</v>
      </c>
      <c r="C462" s="143">
        <v>127.91</v>
      </c>
      <c r="D462" s="143">
        <v>3</v>
      </c>
      <c r="E462" s="143">
        <v>18349</v>
      </c>
      <c r="F462" s="62">
        <f t="shared" ref="F462" si="1035">E462/$E$459</f>
        <v>1.5855057075829248E-2</v>
      </c>
      <c r="G462" s="143">
        <v>15282.4</v>
      </c>
      <c r="H462" s="27">
        <f t="shared" ref="H462" si="1036">IF(OR(E462=G462,AND(E462="",G462=0),AND(E462=0,G462="")),0%,IF(OR(G462="",G462=0),100%,(E462-G462)/ABS(G462)))</f>
        <v>0.20066219965450455</v>
      </c>
      <c r="I462" s="35">
        <f t="shared" ref="I462" si="1037">IF(OR(D462=0,D462=""),0,E462/D462)</f>
        <v>6116.333333333333</v>
      </c>
      <c r="J462" s="68">
        <f t="shared" ref="J462" si="1038">E462/C462</f>
        <v>143.45242748807755</v>
      </c>
      <c r="K462" s="1"/>
    </row>
    <row r="463" spans="1:11" s="86" customFormat="1" ht="14.25" customHeight="1" x14ac:dyDescent="0.15">
      <c r="A463" s="134" t="s">
        <v>548</v>
      </c>
      <c r="B463" s="98" t="s">
        <v>2272</v>
      </c>
      <c r="C463" s="143">
        <v>274.88</v>
      </c>
      <c r="D463" s="143">
        <v>117</v>
      </c>
      <c r="E463" s="143">
        <v>5829</v>
      </c>
      <c r="F463" s="62">
        <f>E463/$E$459</f>
        <v>5.0367392062242453E-3</v>
      </c>
      <c r="G463" s="143">
        <v>4588</v>
      </c>
      <c r="H463" s="27">
        <f>IF(OR(E463=G463,AND(E463="",G463=0),AND(E463=0,G463="")),0%,IF(OR(G463="",G463=0),100%,(E463-G463)/ABS(G463)))</f>
        <v>0.27048823016564955</v>
      </c>
      <c r="I463" s="35">
        <f>IF(OR(D463=0,D463=""),0,E463/D463)</f>
        <v>49.820512820512818</v>
      </c>
      <c r="J463" s="68">
        <f>E463/C463</f>
        <v>21.205616996507569</v>
      </c>
      <c r="K463" s="1"/>
    </row>
    <row r="464" spans="1:11" ht="14.25" customHeight="1" x14ac:dyDescent="0.15">
      <c r="A464" s="134" t="s">
        <v>593</v>
      </c>
      <c r="B464" s="98" t="s">
        <v>2450</v>
      </c>
      <c r="C464" s="143">
        <v>608.08000000000004</v>
      </c>
      <c r="D464" s="143">
        <v>46</v>
      </c>
      <c r="E464" s="143">
        <v>8066</v>
      </c>
      <c r="F464" s="62">
        <f t="shared" ref="F464" si="1039">E464/$E$459</f>
        <v>6.9696926466640526E-3</v>
      </c>
      <c r="G464" s="143">
        <v>9207</v>
      </c>
      <c r="H464" s="27">
        <f t="shared" ref="H464" si="1040">IF(OR(E464=G464,AND(E464="",G464=0),AND(E464=0,G464="")),0%,IF(OR(G464="",G464=0),100%,(E464-G464)/ABS(G464)))</f>
        <v>-0.12392744650809166</v>
      </c>
      <c r="I464" s="35">
        <f t="shared" ref="I464" si="1041">IF(OR(D464=0,D464=""),0,E464/D464)</f>
        <v>175.34782608695653</v>
      </c>
      <c r="J464" s="68">
        <f t="shared" ref="J464" si="1042">E464/C464</f>
        <v>13.264702012893039</v>
      </c>
      <c r="K464" s="1"/>
    </row>
    <row r="465" spans="1:11" s="86" customFormat="1" ht="14.25" customHeight="1" x14ac:dyDescent="0.15">
      <c r="A465" s="134" t="s">
        <v>136</v>
      </c>
      <c r="B465" s="98" t="s">
        <v>2273</v>
      </c>
      <c r="C465" s="143">
        <v>114.8</v>
      </c>
      <c r="D465" s="143">
        <v>120</v>
      </c>
      <c r="E465" s="143">
        <v>6021</v>
      </c>
      <c r="F465" s="62">
        <f>E465/$E$459</f>
        <v>5.2026431224354401E-3</v>
      </c>
      <c r="G465" s="143">
        <v>9026</v>
      </c>
      <c r="H465" s="27">
        <f t="shared" si="1029"/>
        <v>-0.3329270994903612</v>
      </c>
      <c r="I465" s="35">
        <f t="shared" si="1030"/>
        <v>50.174999999999997</v>
      </c>
      <c r="J465" s="68">
        <f t="shared" si="1034"/>
        <v>52.447735191637634</v>
      </c>
      <c r="K465" s="1"/>
    </row>
    <row r="466" spans="1:11" ht="14.25" customHeight="1" x14ac:dyDescent="0.15">
      <c r="A466" s="134" t="s">
        <v>535</v>
      </c>
      <c r="B466" s="98" t="s">
        <v>2451</v>
      </c>
      <c r="C466" s="143">
        <v>100</v>
      </c>
      <c r="D466" s="143">
        <v>39</v>
      </c>
      <c r="E466" s="143">
        <v>3834</v>
      </c>
      <c r="F466" s="62">
        <f>E466/$E$459</f>
        <v>3.3128938268422981E-3</v>
      </c>
      <c r="G466" s="143">
        <v>2741</v>
      </c>
      <c r="H466" s="27">
        <f t="shared" si="1029"/>
        <v>0.39875957679678947</v>
      </c>
      <c r="I466" s="35">
        <f t="shared" si="1030"/>
        <v>98.307692307692307</v>
      </c>
      <c r="J466" s="68">
        <f t="shared" si="1034"/>
        <v>38.340000000000003</v>
      </c>
      <c r="K466" s="1"/>
    </row>
    <row r="467" spans="1:11" s="86" customFormat="1" ht="14.25" customHeight="1" x14ac:dyDescent="0.15">
      <c r="A467" s="134" t="s">
        <v>838</v>
      </c>
      <c r="B467" s="98" t="s">
        <v>2274</v>
      </c>
      <c r="C467" s="143">
        <v>370</v>
      </c>
      <c r="D467" s="143">
        <v>101</v>
      </c>
      <c r="E467" s="143">
        <v>12015.5</v>
      </c>
      <c r="F467" s="62">
        <f>E467/$E$459</f>
        <v>1.0382388048102148E-2</v>
      </c>
      <c r="G467" s="143">
        <v>14509.2</v>
      </c>
      <c r="H467" s="27">
        <f t="shared" ref="H467" si="1043">IF(OR(E467=G467,AND(E467="",G467=0),AND(E467=0,G467="")),0%,IF(OR(G467="",G467=0),100%,(E467-G467)/ABS(G467)))</f>
        <v>-0.17187026162710561</v>
      </c>
      <c r="I467" s="35">
        <f t="shared" ref="I467" si="1044">IF(OR(D467=0,D467=""),0,E467/D467)</f>
        <v>118.96534653465346</v>
      </c>
      <c r="J467" s="68">
        <f t="shared" ref="J467" si="1045">E467/C467</f>
        <v>32.474324324324321</v>
      </c>
      <c r="K467" s="1"/>
    </row>
    <row r="468" spans="1:11" s="86" customFormat="1" ht="14.25" customHeight="1" x14ac:dyDescent="0.15">
      <c r="A468" s="134" t="s">
        <v>372</v>
      </c>
      <c r="B468" s="98" t="s">
        <v>2275</v>
      </c>
      <c r="C468" s="143">
        <v>30</v>
      </c>
      <c r="D468" s="143">
        <v>62</v>
      </c>
      <c r="E468" s="143">
        <v>2150</v>
      </c>
      <c r="F468" s="62">
        <f t="shared" ref="F468" si="1046">E468/$E$459</f>
        <v>1.8577782284066096E-3</v>
      </c>
      <c r="G468" s="143">
        <v>2447</v>
      </c>
      <c r="H468" s="27">
        <f t="shared" ref="H468" si="1047">IF(OR(E468=G468,AND(E468="",G468=0),AND(E468=0,G468="")),0%,IF(OR(G468="",G468=0),100%,(E468-G468)/ABS(G468)))</f>
        <v>-0.12137310993052718</v>
      </c>
      <c r="I468" s="35">
        <f t="shared" ref="I468" si="1048">IF(OR(D468=0,D468=""),0,E468/D468)</f>
        <v>34.677419354838712</v>
      </c>
      <c r="J468" s="68">
        <f t="shared" ref="J468" si="1049">E468/C468</f>
        <v>71.666666666666671</v>
      </c>
      <c r="K468" s="1"/>
    </row>
    <row r="469" spans="1:11" ht="14.25" customHeight="1" x14ac:dyDescent="0.3">
      <c r="A469" s="135" t="s">
        <v>137</v>
      </c>
      <c r="B469" s="98" t="s">
        <v>2452</v>
      </c>
      <c r="C469" s="143">
        <v>60</v>
      </c>
      <c r="D469" s="143">
        <v>252</v>
      </c>
      <c r="E469" s="143">
        <v>5664.89</v>
      </c>
      <c r="F469" s="62">
        <f t="shared" ref="F469:F474" si="1050">E469/$E$459</f>
        <v>4.8949345620085205E-3</v>
      </c>
      <c r="G469" s="143">
        <v>4826.6899999999996</v>
      </c>
      <c r="H469" s="27">
        <f t="shared" si="1029"/>
        <v>0.1736593814808908</v>
      </c>
      <c r="I469" s="35">
        <f t="shared" si="1030"/>
        <v>22.479722222222225</v>
      </c>
      <c r="J469" s="68">
        <f t="shared" si="1034"/>
        <v>94.414833333333334</v>
      </c>
      <c r="K469" s="1"/>
    </row>
    <row r="470" spans="1:11" s="86" customFormat="1" ht="14.25" customHeight="1" x14ac:dyDescent="0.3">
      <c r="A470" s="135" t="s">
        <v>970</v>
      </c>
      <c r="B470" s="98" t="s">
        <v>2276</v>
      </c>
      <c r="C470" s="143">
        <v>61.3</v>
      </c>
      <c r="D470" s="143">
        <v>6</v>
      </c>
      <c r="E470" s="143">
        <v>1020.8</v>
      </c>
      <c r="F470" s="62">
        <f t="shared" si="1050"/>
        <v>8.8205582118951957E-4</v>
      </c>
      <c r="G470" s="143">
        <v>1342</v>
      </c>
      <c r="H470" s="27">
        <f t="shared" ref="H470" si="1051">IF(OR(E470=G470,AND(E470="",G470=0),AND(E470=0,G470="")),0%,IF(OR(G470="",G470=0),100%,(E470-G470)/ABS(G470)))</f>
        <v>-0.23934426229508199</v>
      </c>
      <c r="I470" s="35">
        <f t="shared" ref="I470" si="1052">IF(OR(D470=0,D470=""),0,E470/D470)</f>
        <v>170.13333333333333</v>
      </c>
      <c r="J470" s="68">
        <f t="shared" ref="J470" si="1053">E470/C470</f>
        <v>16.652528548123982</v>
      </c>
      <c r="K470" s="1"/>
    </row>
    <row r="471" spans="1:11" s="86" customFormat="1" ht="14.25" customHeight="1" x14ac:dyDescent="0.3">
      <c r="A471" s="135" t="s">
        <v>956</v>
      </c>
      <c r="B471" s="98" t="s">
        <v>2215</v>
      </c>
      <c r="C471" s="143">
        <v>63.92</v>
      </c>
      <c r="D471" s="143"/>
      <c r="E471" s="143"/>
      <c r="F471" s="62">
        <f t="shared" si="1050"/>
        <v>0</v>
      </c>
      <c r="G471" s="143"/>
      <c r="H471" s="27">
        <f t="shared" ref="H471:H486" si="1054">IF(OR(E471=G471,AND(E471="",G471=0),AND(E471=0,G471="")),0%,IF(OR(G471="",G471=0),100%,(E471-G471)/ABS(G471)))</f>
        <v>0</v>
      </c>
      <c r="I471" s="35">
        <f t="shared" ref="I471:I486" si="1055">IF(OR(D471=0,D471=""),0,E471/D471)</f>
        <v>0</v>
      </c>
      <c r="J471" s="68">
        <f t="shared" ref="J471:J486" si="1056">E471/C471</f>
        <v>0</v>
      </c>
      <c r="K471" s="1"/>
    </row>
    <row r="472" spans="1:11" s="86" customFormat="1" ht="14.25" customHeight="1" x14ac:dyDescent="0.3">
      <c r="A472" s="135" t="s">
        <v>954</v>
      </c>
      <c r="B472" s="98" t="s">
        <v>2277</v>
      </c>
      <c r="C472" s="143">
        <v>175</v>
      </c>
      <c r="D472" s="143">
        <v>4</v>
      </c>
      <c r="E472" s="143">
        <v>740</v>
      </c>
      <c r="F472" s="62">
        <f t="shared" si="1050"/>
        <v>6.3942134373064707E-4</v>
      </c>
      <c r="G472" s="143">
        <v>3780</v>
      </c>
      <c r="H472" s="27">
        <f t="shared" si="1054"/>
        <v>-0.80423280423280419</v>
      </c>
      <c r="I472" s="35">
        <f t="shared" si="1055"/>
        <v>185</v>
      </c>
      <c r="J472" s="68">
        <f t="shared" si="1056"/>
        <v>4.2285714285714286</v>
      </c>
      <c r="K472" s="1"/>
    </row>
    <row r="473" spans="1:11" s="86" customFormat="1" ht="14.25" customHeight="1" x14ac:dyDescent="0.3">
      <c r="A473" s="135" t="s">
        <v>962</v>
      </c>
      <c r="B473" s="98" t="s">
        <v>2278</v>
      </c>
      <c r="C473" s="143">
        <v>47</v>
      </c>
      <c r="D473" s="143">
        <v>12</v>
      </c>
      <c r="E473" s="143">
        <v>1194</v>
      </c>
      <c r="F473" s="62">
        <f t="shared" si="1050"/>
        <v>1.0317149789383683E-3</v>
      </c>
      <c r="G473" s="143">
        <v>668</v>
      </c>
      <c r="H473" s="27">
        <f t="shared" si="1054"/>
        <v>0.78742514970059885</v>
      </c>
      <c r="I473" s="35">
        <f t="shared" si="1055"/>
        <v>99.5</v>
      </c>
      <c r="J473" s="68">
        <f t="shared" si="1056"/>
        <v>25.404255319148938</v>
      </c>
      <c r="K473" s="1"/>
    </row>
    <row r="474" spans="1:11" s="86" customFormat="1" ht="14.25" customHeight="1" x14ac:dyDescent="0.3">
      <c r="A474" s="135" t="s">
        <v>961</v>
      </c>
      <c r="B474" s="98" t="s">
        <v>2279</v>
      </c>
      <c r="C474" s="143">
        <v>48</v>
      </c>
      <c r="D474" s="143">
        <v>4</v>
      </c>
      <c r="E474" s="143">
        <v>1113</v>
      </c>
      <c r="F474" s="62">
        <f t="shared" si="1050"/>
        <v>9.6172426428677048E-4</v>
      </c>
      <c r="G474" s="143">
        <v>899</v>
      </c>
      <c r="H474" s="27">
        <f t="shared" si="1054"/>
        <v>0.23804226918798665</v>
      </c>
      <c r="I474" s="35">
        <f t="shared" si="1055"/>
        <v>278.25</v>
      </c>
      <c r="J474" s="68">
        <f t="shared" si="1056"/>
        <v>23.1875</v>
      </c>
      <c r="K474" s="1"/>
    </row>
    <row r="475" spans="1:11" s="86" customFormat="1" ht="14.25" customHeight="1" x14ac:dyDescent="0.3">
      <c r="A475" s="135" t="s">
        <v>985</v>
      </c>
      <c r="B475" s="98" t="s">
        <v>2453</v>
      </c>
      <c r="C475" s="143">
        <v>190</v>
      </c>
      <c r="D475" s="143">
        <v>10</v>
      </c>
      <c r="E475" s="143">
        <v>2071</v>
      </c>
      <c r="F475" s="62">
        <f t="shared" ref="F475" si="1057">E475/$E$459</f>
        <v>1.7895156795488783E-3</v>
      </c>
      <c r="G475" s="143">
        <v>2246</v>
      </c>
      <c r="H475" s="27">
        <f t="shared" ref="H475" si="1058">IF(OR(E475=G475,AND(E475="",G475=0),AND(E475=0,G475="")),0%,IF(OR(G475="",G475=0),100%,(E475-G475)/ABS(G475)))</f>
        <v>-7.7916295636687449E-2</v>
      </c>
      <c r="I475" s="35">
        <f t="shared" ref="I475" si="1059">IF(OR(D475=0,D475=""),0,E475/D475)</f>
        <v>207.1</v>
      </c>
      <c r="J475" s="68">
        <f t="shared" ref="J475" si="1060">E475/C475</f>
        <v>10.9</v>
      </c>
      <c r="K475" s="1"/>
    </row>
    <row r="476" spans="1:11" s="86" customFormat="1" ht="14.25" customHeight="1" x14ac:dyDescent="0.3">
      <c r="A476" s="135" t="s">
        <v>959</v>
      </c>
      <c r="B476" s="98" t="s">
        <v>2280</v>
      </c>
      <c r="C476" s="143">
        <v>93.9</v>
      </c>
      <c r="D476" s="143">
        <v>11</v>
      </c>
      <c r="E476" s="143">
        <v>2061</v>
      </c>
      <c r="F476" s="62">
        <f>E476/$E$459</f>
        <v>1.7808748505795454E-3</v>
      </c>
      <c r="G476" s="143">
        <v>687</v>
      </c>
      <c r="H476" s="27">
        <f t="shared" si="1054"/>
        <v>2</v>
      </c>
      <c r="I476" s="35">
        <f t="shared" si="1055"/>
        <v>187.36363636363637</v>
      </c>
      <c r="J476" s="68">
        <f t="shared" si="1056"/>
        <v>21.948881789137378</v>
      </c>
      <c r="K476" s="1"/>
    </row>
    <row r="477" spans="1:11" s="86" customFormat="1" ht="14.25" customHeight="1" x14ac:dyDescent="0.3">
      <c r="A477" s="135" t="s">
        <v>955</v>
      </c>
      <c r="B477" s="98" t="s">
        <v>2454</v>
      </c>
      <c r="C477" s="143">
        <v>295</v>
      </c>
      <c r="D477" s="143">
        <v>106</v>
      </c>
      <c r="E477" s="143">
        <v>8131.5</v>
      </c>
      <c r="F477" s="62">
        <f>E477/$E$459</f>
        <v>7.0262900764131841E-3</v>
      </c>
      <c r="G477" s="143">
        <v>8397.2999999999993</v>
      </c>
      <c r="H477" s="27">
        <f t="shared" si="1054"/>
        <v>-3.1653031331499326E-2</v>
      </c>
      <c r="I477" s="35">
        <f t="shared" si="1055"/>
        <v>76.712264150943398</v>
      </c>
      <c r="J477" s="68">
        <f t="shared" si="1056"/>
        <v>27.564406779661017</v>
      </c>
      <c r="K477" s="1"/>
    </row>
    <row r="478" spans="1:11" s="86" customFormat="1" ht="14.25" customHeight="1" x14ac:dyDescent="0.3">
      <c r="A478" s="135" t="s">
        <v>957</v>
      </c>
      <c r="B478" s="98" t="s">
        <v>2281</v>
      </c>
      <c r="C478" s="143">
        <v>105</v>
      </c>
      <c r="D478" s="143">
        <v>7</v>
      </c>
      <c r="E478" s="143">
        <v>918</v>
      </c>
      <c r="F478" s="62">
        <f>E478/$E$459</f>
        <v>7.9322809938477568E-4</v>
      </c>
      <c r="G478" s="143">
        <v>3590.7</v>
      </c>
      <c r="H478" s="27">
        <f t="shared" si="1054"/>
        <v>-0.744339543821539</v>
      </c>
      <c r="I478" s="35">
        <f t="shared" si="1055"/>
        <v>131.14285714285714</v>
      </c>
      <c r="J478" s="68">
        <f t="shared" si="1056"/>
        <v>8.742857142857142</v>
      </c>
      <c r="K478" s="1"/>
    </row>
    <row r="479" spans="1:11" s="86" customFormat="1" ht="14.25" customHeight="1" x14ac:dyDescent="0.3">
      <c r="A479" s="135" t="s">
        <v>994</v>
      </c>
      <c r="B479" s="98" t="s">
        <v>2282</v>
      </c>
      <c r="C479" s="143">
        <v>58.95</v>
      </c>
      <c r="D479" s="143">
        <v>2</v>
      </c>
      <c r="E479" s="143">
        <v>1058</v>
      </c>
      <c r="F479" s="62">
        <f t="shared" ref="F479" si="1061">E479/$E$459</f>
        <v>9.1419970495543862E-4</v>
      </c>
      <c r="G479" s="143">
        <v>632</v>
      </c>
      <c r="H479" s="27">
        <f t="shared" ref="H479" si="1062">IF(OR(E479=G479,AND(E479="",G479=0),AND(E479=0,G479="")),0%,IF(OR(G479="",G479=0),100%,(E479-G479)/ABS(G479)))</f>
        <v>0.67405063291139244</v>
      </c>
      <c r="I479" s="35">
        <f t="shared" ref="I479" si="1063">IF(OR(D479=0,D479=""),0,E479/D479)</f>
        <v>529</v>
      </c>
      <c r="J479" s="68">
        <f t="shared" ref="J479" si="1064">E479/C479</f>
        <v>17.947413061916876</v>
      </c>
      <c r="K479" s="1"/>
    </row>
    <row r="480" spans="1:11" s="86" customFormat="1" ht="14.25" customHeight="1" x14ac:dyDescent="0.3">
      <c r="A480" s="135" t="s">
        <v>967</v>
      </c>
      <c r="B480" s="98" t="s">
        <v>2283</v>
      </c>
      <c r="C480" s="143">
        <v>145</v>
      </c>
      <c r="D480" s="143">
        <v>17</v>
      </c>
      <c r="E480" s="143">
        <v>2791</v>
      </c>
      <c r="F480" s="62">
        <f>E480/$E$459</f>
        <v>2.4116553653408595E-3</v>
      </c>
      <c r="G480" s="143">
        <v>6223</v>
      </c>
      <c r="H480" s="27">
        <f t="shared" si="1054"/>
        <v>-0.55150249076008351</v>
      </c>
      <c r="I480" s="35">
        <f t="shared" si="1055"/>
        <v>164.1764705882353</v>
      </c>
      <c r="J480" s="68">
        <f t="shared" si="1056"/>
        <v>19.248275862068965</v>
      </c>
      <c r="K480" s="1"/>
    </row>
    <row r="481" spans="1:11" s="86" customFormat="1" ht="14.25" customHeight="1" x14ac:dyDescent="0.3">
      <c r="A481" s="135" t="s">
        <v>958</v>
      </c>
      <c r="B481" s="98" t="s">
        <v>2284</v>
      </c>
      <c r="C481" s="143">
        <v>189.4</v>
      </c>
      <c r="D481" s="143">
        <v>1</v>
      </c>
      <c r="E481" s="143">
        <v>2980</v>
      </c>
      <c r="F481" s="62">
        <f>E481/$E$459</f>
        <v>2.5749670328612541E-3</v>
      </c>
      <c r="G481" s="143">
        <v>6282</v>
      </c>
      <c r="H481" s="27">
        <f t="shared" si="1054"/>
        <v>-0.52562878064310725</v>
      </c>
      <c r="I481" s="35">
        <f t="shared" si="1055"/>
        <v>2980</v>
      </c>
      <c r="J481" s="68">
        <f t="shared" si="1056"/>
        <v>15.733896515311509</v>
      </c>
      <c r="K481" s="1"/>
    </row>
    <row r="482" spans="1:11" s="86" customFormat="1" ht="14.25" customHeight="1" x14ac:dyDescent="0.3">
      <c r="A482" s="135" t="s">
        <v>1033</v>
      </c>
      <c r="B482" s="98" t="s">
        <v>2455</v>
      </c>
      <c r="C482" s="143">
        <v>132</v>
      </c>
      <c r="D482" s="143">
        <v>239</v>
      </c>
      <c r="E482" s="143">
        <v>10006</v>
      </c>
      <c r="F482" s="62">
        <f t="shared" ref="F482" si="1065">E482/$E$459</f>
        <v>8.6460134667146679E-3</v>
      </c>
      <c r="G482" s="143">
        <v>10750.5</v>
      </c>
      <c r="H482" s="27">
        <f t="shared" ref="H482" si="1066">IF(OR(E482=G482,AND(E482="",G482=0),AND(E482=0,G482="")),0%,IF(OR(G482="",G482=0),100%,(E482-G482)/ABS(G482)))</f>
        <v>-6.9252592902655688E-2</v>
      </c>
      <c r="I482" s="35">
        <f t="shared" ref="I482" si="1067">IF(OR(D482=0,D482=""),0,E482/D482)</f>
        <v>41.86610878661088</v>
      </c>
      <c r="J482" s="68">
        <f t="shared" ref="J482" si="1068">E482/C482</f>
        <v>75.803030303030297</v>
      </c>
      <c r="K482" s="1"/>
    </row>
    <row r="483" spans="1:11" s="86" customFormat="1" ht="14.25" customHeight="1" x14ac:dyDescent="0.3">
      <c r="A483" s="135" t="s">
        <v>995</v>
      </c>
      <c r="B483" s="98" t="s">
        <v>2285</v>
      </c>
      <c r="C483" s="143">
        <v>176</v>
      </c>
      <c r="D483" s="143">
        <v>35</v>
      </c>
      <c r="E483" s="143">
        <v>10069</v>
      </c>
      <c r="F483" s="62">
        <f t="shared" ref="F483" si="1069">E483/$E$459</f>
        <v>8.7004506892214666E-3</v>
      </c>
      <c r="G483" s="143">
        <v>11650</v>
      </c>
      <c r="H483" s="27">
        <f t="shared" ref="H483" si="1070">IF(OR(E483=G483,AND(E483="",G483=0),AND(E483=0,G483="")),0%,IF(OR(G483="",G483=0),100%,(E483-G483)/ABS(G483)))</f>
        <v>-0.13570815450643778</v>
      </c>
      <c r="I483" s="35">
        <f t="shared" ref="I483" si="1071">IF(OR(D483=0,D483=""),0,E483/D483)</f>
        <v>287.68571428571431</v>
      </c>
      <c r="J483" s="68">
        <f t="shared" ref="J483" si="1072">E483/C483</f>
        <v>57.210227272727273</v>
      </c>
      <c r="K483" s="1"/>
    </row>
    <row r="484" spans="1:11" s="86" customFormat="1" ht="14.25" customHeight="1" x14ac:dyDescent="0.3">
      <c r="A484" s="135" t="s">
        <v>1636</v>
      </c>
      <c r="B484" s="98" t="s">
        <v>2456</v>
      </c>
      <c r="C484" s="143">
        <v>25</v>
      </c>
      <c r="D484" s="143">
        <v>25</v>
      </c>
      <c r="E484" s="143">
        <v>1978</v>
      </c>
      <c r="F484" s="62">
        <f t="shared" ref="F484" si="1073">E484/$E$459</f>
        <v>1.7091559701340809E-3</v>
      </c>
      <c r="G484" s="143">
        <v>1227</v>
      </c>
      <c r="H484" s="27">
        <f t="shared" ref="H484" si="1074">IF(OR(E484=G484,AND(E484="",G484=0),AND(E484=0,G484="")),0%,IF(OR(G484="",G484=0),100%,(E484-G484)/ABS(G484)))</f>
        <v>0.61206193969030154</v>
      </c>
      <c r="I484" s="35">
        <f t="shared" ref="I484" si="1075">IF(OR(D484=0,D484=""),0,E484/D484)</f>
        <v>79.12</v>
      </c>
      <c r="J484" s="68">
        <f t="shared" ref="J484" si="1076">E484/C484</f>
        <v>79.12</v>
      </c>
      <c r="K484" s="1"/>
    </row>
    <row r="485" spans="1:11" s="86" customFormat="1" ht="14.25" customHeight="1" x14ac:dyDescent="0.3">
      <c r="A485" s="135" t="s">
        <v>892</v>
      </c>
      <c r="B485" s="98" t="s">
        <v>2457</v>
      </c>
      <c r="C485" s="143">
        <v>30</v>
      </c>
      <c r="D485" s="143">
        <v>11</v>
      </c>
      <c r="E485" s="143">
        <v>955</v>
      </c>
      <c r="F485" s="62">
        <f>E485/$E$459</f>
        <v>8.2519916657130806E-4</v>
      </c>
      <c r="G485" s="143">
        <v>1075</v>
      </c>
      <c r="H485" s="27">
        <f t="shared" si="1054"/>
        <v>-0.11162790697674418</v>
      </c>
      <c r="I485" s="35">
        <f t="shared" si="1055"/>
        <v>86.818181818181813</v>
      </c>
      <c r="J485" s="68">
        <f t="shared" si="1056"/>
        <v>31.833333333333332</v>
      </c>
      <c r="K485" s="1"/>
    </row>
    <row r="486" spans="1:11" s="86" customFormat="1" ht="14.25" customHeight="1" x14ac:dyDescent="0.3">
      <c r="A486" s="135" t="s">
        <v>963</v>
      </c>
      <c r="B486" s="98" t="s">
        <v>2286</v>
      </c>
      <c r="C486" s="143">
        <v>16</v>
      </c>
      <c r="D486" s="143">
        <v>6</v>
      </c>
      <c r="E486" s="143">
        <v>222</v>
      </c>
      <c r="F486" s="62">
        <f>E486/$E$459</f>
        <v>1.9182640311919412E-4</v>
      </c>
      <c r="G486" s="143">
        <v>429</v>
      </c>
      <c r="H486" s="27">
        <f t="shared" si="1054"/>
        <v>-0.4825174825174825</v>
      </c>
      <c r="I486" s="35">
        <f t="shared" si="1055"/>
        <v>37</v>
      </c>
      <c r="J486" s="68">
        <f t="shared" si="1056"/>
        <v>13.875</v>
      </c>
      <c r="K486" s="1"/>
    </row>
    <row r="487" spans="1:11" s="86" customFormat="1" ht="14.25" customHeight="1" x14ac:dyDescent="0.3">
      <c r="A487" s="135" t="s">
        <v>748</v>
      </c>
      <c r="B487" s="98" t="s">
        <v>2287</v>
      </c>
      <c r="C487" s="143">
        <v>34</v>
      </c>
      <c r="D487" s="143">
        <v>41</v>
      </c>
      <c r="E487" s="143">
        <v>1556</v>
      </c>
      <c r="F487" s="62">
        <f t="shared" ref="F487" si="1077">E487/$E$459</f>
        <v>1.3445129876282255E-3</v>
      </c>
      <c r="G487" s="143">
        <v>1537.4</v>
      </c>
      <c r="H487" s="27">
        <f t="shared" ref="H487" si="1078">IF(OR(E487=G487,AND(E487="",G487=0),AND(E487=0,G487="")),0%,IF(OR(G487="",G487=0),100%,(E487-G487)/ABS(G487)))</f>
        <v>1.2098347860023357E-2</v>
      </c>
      <c r="I487" s="35">
        <f t="shared" ref="I487" si="1079">IF(OR(D487=0,D487=""),0,E487/D487)</f>
        <v>37.951219512195124</v>
      </c>
      <c r="J487" s="68">
        <f t="shared" ref="J487" si="1080">E487/C487</f>
        <v>45.764705882352942</v>
      </c>
      <c r="K487" s="1"/>
    </row>
    <row r="488" spans="1:11" s="86" customFormat="1" ht="14.25" customHeight="1" x14ac:dyDescent="0.3">
      <c r="A488" s="135" t="s">
        <v>750</v>
      </c>
      <c r="B488" s="98" t="s">
        <v>2288</v>
      </c>
      <c r="C488" s="143">
        <v>36.6</v>
      </c>
      <c r="D488" s="143">
        <v>13</v>
      </c>
      <c r="E488" s="143">
        <v>1351</v>
      </c>
      <c r="F488" s="62">
        <f t="shared" ref="F488" si="1081">E488/$E$459</f>
        <v>1.1673759937568975E-3</v>
      </c>
      <c r="G488" s="143">
        <v>1629</v>
      </c>
      <c r="H488" s="27">
        <f t="shared" ref="H488" si="1082">IF(OR(E488=G488,AND(E488="",G488=0),AND(E488=0,G488="")),0%,IF(OR(G488="",G488=0),100%,(E488-G488)/ABS(G488)))</f>
        <v>-0.17065684468999387</v>
      </c>
      <c r="I488" s="35">
        <f t="shared" ref="I488" si="1083">IF(OR(D488=0,D488=""),0,E488/D488)</f>
        <v>103.92307692307692</v>
      </c>
      <c r="J488" s="68">
        <f t="shared" ref="J488" si="1084">E488/C488</f>
        <v>36.912568306010925</v>
      </c>
      <c r="K488" s="1"/>
    </row>
    <row r="489" spans="1:11" ht="14.25" customHeight="1" x14ac:dyDescent="0.3">
      <c r="A489" s="135" t="s">
        <v>138</v>
      </c>
      <c r="B489" s="98" t="s">
        <v>2289</v>
      </c>
      <c r="C489" s="143">
        <v>450.98</v>
      </c>
      <c r="D489" s="143">
        <v>36</v>
      </c>
      <c r="E489" s="143">
        <v>15874</v>
      </c>
      <c r="F489" s="62">
        <f>E489/$E$459</f>
        <v>1.3716451905919313E-2</v>
      </c>
      <c r="G489" s="143">
        <v>21003</v>
      </c>
      <c r="H489" s="27">
        <f t="shared" si="1029"/>
        <v>-0.2442032090653716</v>
      </c>
      <c r="I489" s="35">
        <f t="shared" si="1030"/>
        <v>440.94444444444446</v>
      </c>
      <c r="J489" s="68">
        <f t="shared" si="1034"/>
        <v>35.19890017295667</v>
      </c>
      <c r="K489" s="1"/>
    </row>
    <row r="490" spans="1:11" s="86" customFormat="1" ht="14.25" customHeight="1" x14ac:dyDescent="0.3">
      <c r="A490" s="135" t="s">
        <v>139</v>
      </c>
      <c r="B490" s="98" t="s">
        <v>2290</v>
      </c>
      <c r="C490" s="143">
        <v>390.86</v>
      </c>
      <c r="D490" s="143">
        <v>42</v>
      </c>
      <c r="E490" s="143">
        <v>6414.2</v>
      </c>
      <c r="F490" s="62">
        <f>E490/$E$459</f>
        <v>5.5424005175096162E-3</v>
      </c>
      <c r="G490" s="143">
        <v>10786.4</v>
      </c>
      <c r="H490" s="27">
        <f t="shared" si="1029"/>
        <v>-0.40534376622413409</v>
      </c>
      <c r="I490" s="35">
        <f t="shared" si="1030"/>
        <v>152.71904761904761</v>
      </c>
      <c r="J490" s="68">
        <f t="shared" si="1034"/>
        <v>16.410479455559535</v>
      </c>
      <c r="K490" s="1"/>
    </row>
    <row r="491" spans="1:11" s="86" customFormat="1" ht="14.25" customHeight="1" x14ac:dyDescent="0.3">
      <c r="A491" s="135" t="s">
        <v>806</v>
      </c>
      <c r="B491" s="98" t="s">
        <v>2291</v>
      </c>
      <c r="C491" s="143">
        <v>94.06</v>
      </c>
      <c r="D491" s="143">
        <v>239</v>
      </c>
      <c r="E491" s="143">
        <v>13837.5</v>
      </c>
      <c r="F491" s="62">
        <f>E491/$E$459</f>
        <v>1.1956747086314633E-2</v>
      </c>
      <c r="G491" s="143">
        <v>12399.7</v>
      </c>
      <c r="H491" s="27">
        <f t="shared" ref="H491" si="1085">IF(OR(E491=G491,AND(E491="",G491=0),AND(E491=0,G491="")),0%,IF(OR(G491="",G491=0),100%,(E491-G491)/ABS(G491)))</f>
        <v>0.11595441825205442</v>
      </c>
      <c r="I491" s="35">
        <f t="shared" ref="I491" si="1086">IF(OR(D491=0,D491=""),0,E491/D491)</f>
        <v>57.897489539748953</v>
      </c>
      <c r="J491" s="68">
        <f t="shared" ref="J491" si="1087">E491/C491</f>
        <v>147.11354454603443</v>
      </c>
      <c r="K491" s="1"/>
    </row>
    <row r="492" spans="1:11" s="86" customFormat="1" ht="14.25" customHeight="1" x14ac:dyDescent="0.3">
      <c r="A492" s="135" t="s">
        <v>140</v>
      </c>
      <c r="B492" s="98" t="s">
        <v>2458</v>
      </c>
      <c r="C492" s="143">
        <v>486.46</v>
      </c>
      <c r="D492" s="143">
        <v>468</v>
      </c>
      <c r="E492" s="143">
        <v>37967.5</v>
      </c>
      <c r="F492" s="62">
        <f>E492/$E$459</f>
        <v>3.2807067389315325E-2</v>
      </c>
      <c r="G492" s="143">
        <v>37173</v>
      </c>
      <c r="H492" s="27">
        <f t="shared" si="1029"/>
        <v>2.1373039571732172E-2</v>
      </c>
      <c r="I492" s="35">
        <f t="shared" si="1030"/>
        <v>81.127136752136749</v>
      </c>
      <c r="J492" s="68">
        <f t="shared" si="1034"/>
        <v>78.048554865764913</v>
      </c>
      <c r="K492" s="1"/>
    </row>
    <row r="493" spans="1:11" s="86" customFormat="1" ht="14.25" customHeight="1" x14ac:dyDescent="0.3">
      <c r="A493" s="135" t="s">
        <v>758</v>
      </c>
      <c r="B493" s="98" t="s">
        <v>2459</v>
      </c>
      <c r="C493" s="143">
        <v>720</v>
      </c>
      <c r="D493" s="143">
        <v>369</v>
      </c>
      <c r="E493" s="143">
        <v>51210</v>
      </c>
      <c r="F493" s="62">
        <f t="shared" ref="F493" si="1088">E493/$E$459</f>
        <v>4.424968515195464E-2</v>
      </c>
      <c r="G493" s="143">
        <v>49467</v>
      </c>
      <c r="H493" s="27">
        <f t="shared" ref="H493" si="1089">IF(OR(E493=G493,AND(E493="",G493=0),AND(E493=0,G493="")),0%,IF(OR(G493="",G493=0),100%,(E493-G493)/ABS(G493)))</f>
        <v>3.5235611619867789E-2</v>
      </c>
      <c r="I493" s="35">
        <f t="shared" ref="I493" si="1090">IF(OR(D493=0,D493=""),0,E493/D493)</f>
        <v>138.78048780487805</v>
      </c>
      <c r="J493" s="68">
        <f t="shared" ref="J493" si="1091">E493/C493</f>
        <v>71.125</v>
      </c>
      <c r="K493" s="1"/>
    </row>
    <row r="494" spans="1:11" ht="14.25" customHeight="1" x14ac:dyDescent="0.3">
      <c r="A494" s="135" t="s">
        <v>141</v>
      </c>
      <c r="B494" s="98" t="s">
        <v>2460</v>
      </c>
      <c r="C494" s="143">
        <v>615.91999999999996</v>
      </c>
      <c r="D494" s="143">
        <v>101</v>
      </c>
      <c r="E494" s="143">
        <v>16757</v>
      </c>
      <c r="F494" s="62">
        <f t="shared" ref="F494:F501" si="1092">E494/$E$459</f>
        <v>1.4479437103911422E-2</v>
      </c>
      <c r="G494" s="143">
        <v>16292</v>
      </c>
      <c r="H494" s="27">
        <f t="shared" si="1029"/>
        <v>2.854161551681807E-2</v>
      </c>
      <c r="I494" s="35">
        <f t="shared" si="1030"/>
        <v>165.9108910891089</v>
      </c>
      <c r="J494" s="68">
        <f t="shared" si="1034"/>
        <v>27.206455383816081</v>
      </c>
      <c r="K494" s="1"/>
    </row>
    <row r="495" spans="1:11" s="86" customFormat="1" ht="14.25" customHeight="1" x14ac:dyDescent="0.3">
      <c r="A495" s="135" t="s">
        <v>946</v>
      </c>
      <c r="B495" s="98" t="s">
        <v>2292</v>
      </c>
      <c r="C495" s="143">
        <v>303.01</v>
      </c>
      <c r="D495" s="143">
        <v>106</v>
      </c>
      <c r="E495" s="143">
        <v>18027</v>
      </c>
      <c r="F495" s="62">
        <f t="shared" si="1092"/>
        <v>1.5576822383016721E-2</v>
      </c>
      <c r="G495" s="143">
        <v>20309</v>
      </c>
      <c r="H495" s="27">
        <f t="shared" ref="H495:H501" si="1093">IF(OR(E495=G495,AND(E495="",G495=0),AND(E495=0,G495="")),0%,IF(OR(G495="",G495=0),100%,(E495-G495)/ABS(G495)))</f>
        <v>-0.11236397656211532</v>
      </c>
      <c r="I495" s="35">
        <f t="shared" ref="I495:I501" si="1094">IF(OR(D495=0,D495=""),0,E495/D495)</f>
        <v>170.06603773584905</v>
      </c>
      <c r="J495" s="68">
        <f t="shared" ref="J495:J501" si="1095">E495/C495</f>
        <v>59.493086036764467</v>
      </c>
      <c r="K495" s="1"/>
    </row>
    <row r="496" spans="1:11" s="86" customFormat="1" ht="14.25" customHeight="1" x14ac:dyDescent="0.3">
      <c r="A496" s="135" t="s">
        <v>1607</v>
      </c>
      <c r="B496" s="98" t="s">
        <v>2293</v>
      </c>
      <c r="C496" s="143">
        <v>45</v>
      </c>
      <c r="D496" s="143">
        <v>61</v>
      </c>
      <c r="E496" s="143">
        <v>8929</v>
      </c>
      <c r="F496" s="62">
        <f t="shared" si="1092"/>
        <v>7.7153961867174967E-3</v>
      </c>
      <c r="G496" s="143">
        <v>11824</v>
      </c>
      <c r="H496" s="27">
        <f t="shared" ref="H496" si="1096">IF(OR(E496=G496,AND(E496="",G496=0),AND(E496=0,G496="")),0%,IF(OR(G496="",G496=0),100%,(E496-G496)/ABS(G496)))</f>
        <v>-0.24484100135317996</v>
      </c>
      <c r="I496" s="35">
        <f t="shared" ref="I496" si="1097">IF(OR(D496=0,D496=""),0,E496/D496)</f>
        <v>146.37704918032787</v>
      </c>
      <c r="J496" s="68">
        <f t="shared" ref="J496" si="1098">E496/C496</f>
        <v>198.42222222222222</v>
      </c>
      <c r="K496" s="1"/>
    </row>
    <row r="497" spans="1:11" s="86" customFormat="1" ht="14.25" customHeight="1" x14ac:dyDescent="0.3">
      <c r="A497" s="135" t="s">
        <v>1684</v>
      </c>
      <c r="B497" s="98" t="s">
        <v>2461</v>
      </c>
      <c r="C497" s="143">
        <v>122.19</v>
      </c>
      <c r="D497" s="143">
        <v>87</v>
      </c>
      <c r="E497" s="143">
        <v>5669</v>
      </c>
      <c r="F497" s="62">
        <f t="shared" ref="F497" si="1099">E497/$E$459</f>
        <v>4.8984859427149167E-3</v>
      </c>
      <c r="G497" s="143">
        <v>4859</v>
      </c>
      <c r="H497" s="27">
        <f t="shared" ref="H497" si="1100">IF(OR(E497=G497,AND(E497="",G497=0),AND(E497=0,G497="")),0%,IF(OR(G497="",G497=0),100%,(E497-G497)/ABS(G497)))</f>
        <v>0.16670096727721753</v>
      </c>
      <c r="I497" s="35">
        <f t="shared" ref="I497" si="1101">IF(OR(D497=0,D497=""),0,E497/D497)</f>
        <v>65.160919540229884</v>
      </c>
      <c r="J497" s="68">
        <f t="shared" ref="J497" si="1102">E497/C497</f>
        <v>46.394958670922335</v>
      </c>
      <c r="K497" s="1"/>
    </row>
    <row r="498" spans="1:11" s="86" customFormat="1" ht="14.25" customHeight="1" x14ac:dyDescent="0.3">
      <c r="A498" s="135" t="s">
        <v>1774</v>
      </c>
      <c r="B498" s="98" t="s">
        <v>2294</v>
      </c>
      <c r="C498" s="143">
        <v>223.06</v>
      </c>
      <c r="D498" s="143">
        <v>52</v>
      </c>
      <c r="E498" s="143">
        <v>9650.5</v>
      </c>
      <c r="F498" s="62">
        <f t="shared" ref="F498" si="1103">E498/$E$459</f>
        <v>8.3388319968548778E-3</v>
      </c>
      <c r="G498" s="143">
        <v>13603.3</v>
      </c>
      <c r="H498" s="27">
        <f t="shared" ref="H498" si="1104">IF(OR(E498=G498,AND(E498="",G498=0),AND(E498=0,G498="")),0%,IF(OR(G498="",G498=0),100%,(E498-G498)/ABS(G498)))</f>
        <v>-0.2905765512779987</v>
      </c>
      <c r="I498" s="35">
        <f t="shared" ref="I498" si="1105">IF(OR(D498=0,D498=""),0,E498/D498)</f>
        <v>185.58653846153845</v>
      </c>
      <c r="J498" s="68">
        <f t="shared" ref="J498" si="1106">E498/C498</f>
        <v>43.264144176454764</v>
      </c>
      <c r="K498" s="1"/>
    </row>
    <row r="499" spans="1:11" s="86" customFormat="1" ht="14.25" customHeight="1" x14ac:dyDescent="0.3">
      <c r="A499" s="135" t="s">
        <v>1840</v>
      </c>
      <c r="B499" s="98" t="s">
        <v>2295</v>
      </c>
      <c r="C499" s="143">
        <v>179.7</v>
      </c>
      <c r="D499" s="143">
        <v>96</v>
      </c>
      <c r="E499" s="143">
        <v>8166</v>
      </c>
      <c r="F499" s="62">
        <f t="shared" ref="F499" si="1107">E499/$E$459</f>
        <v>7.0561009363573832E-3</v>
      </c>
      <c r="G499" s="143">
        <v>9065</v>
      </c>
      <c r="H499" s="27">
        <f t="shared" ref="H499" si="1108">IF(OR(E499=G499,AND(E499="",G499=0),AND(E499=0,G499="")),0%,IF(OR(G499="",G499=0),100%,(E499-G499)/ABS(G499)))</f>
        <v>-9.9172642029784888E-2</v>
      </c>
      <c r="I499" s="35">
        <f t="shared" ref="I499" si="1109">IF(OR(D499=0,D499=""),0,E499/D499)</f>
        <v>85.0625</v>
      </c>
      <c r="J499" s="68">
        <f t="shared" ref="J499" si="1110">E499/C499</f>
        <v>45.442404006677798</v>
      </c>
      <c r="K499" s="1"/>
    </row>
    <row r="500" spans="1:11" s="86" customFormat="1" ht="14.25" customHeight="1" x14ac:dyDescent="0.3">
      <c r="A500" s="135" t="s">
        <v>1140</v>
      </c>
      <c r="B500" s="98" t="s">
        <v>2296</v>
      </c>
      <c r="C500" s="143">
        <v>90.6</v>
      </c>
      <c r="D500" s="143">
        <v>175</v>
      </c>
      <c r="E500" s="143">
        <v>17423</v>
      </c>
      <c r="F500" s="62">
        <f t="shared" si="1092"/>
        <v>1.5054916313269004E-2</v>
      </c>
      <c r="G500" s="143">
        <v>17965</v>
      </c>
      <c r="H500" s="27">
        <f t="shared" ref="H500" si="1111">IF(OR(E500=G500,AND(E500="",G500=0),AND(E500=0,G500="")),0%,IF(OR(G500="",G500=0),100%,(E500-G500)/ABS(G500)))</f>
        <v>-3.0169774561647648E-2</v>
      </c>
      <c r="I500" s="35">
        <f t="shared" ref="I500" si="1112">IF(OR(D500=0,D500=""),0,E500/D500)</f>
        <v>99.56</v>
      </c>
      <c r="J500" s="68">
        <f t="shared" ref="J500" si="1113">E500/C500</f>
        <v>192.30684326710818</v>
      </c>
      <c r="K500" s="1"/>
    </row>
    <row r="501" spans="1:11" s="86" customFormat="1" ht="14.25" customHeight="1" x14ac:dyDescent="0.3">
      <c r="A501" s="135" t="s">
        <v>947</v>
      </c>
      <c r="B501" s="98" t="s">
        <v>2462</v>
      </c>
      <c r="C501" s="143">
        <v>488.17</v>
      </c>
      <c r="D501" s="143">
        <v>45</v>
      </c>
      <c r="E501" s="143">
        <v>21153</v>
      </c>
      <c r="F501" s="62">
        <f t="shared" si="1092"/>
        <v>1.8277945518830239E-2</v>
      </c>
      <c r="G501" s="143">
        <v>20727</v>
      </c>
      <c r="H501" s="27">
        <f t="shared" si="1093"/>
        <v>2.0552902011868577E-2</v>
      </c>
      <c r="I501" s="35">
        <f t="shared" si="1094"/>
        <v>470.06666666666666</v>
      </c>
      <c r="J501" s="68">
        <f t="shared" si="1095"/>
        <v>43.331216584386588</v>
      </c>
      <c r="K501" s="1"/>
    </row>
    <row r="502" spans="1:11" s="86" customFormat="1" ht="14.25" customHeight="1" x14ac:dyDescent="0.3">
      <c r="A502" s="135" t="s">
        <v>558</v>
      </c>
      <c r="B502" s="98" t="s">
        <v>2297</v>
      </c>
      <c r="C502" s="143">
        <v>125</v>
      </c>
      <c r="D502" s="143">
        <v>81</v>
      </c>
      <c r="E502" s="143">
        <v>4920.5</v>
      </c>
      <c r="F502" s="62">
        <f t="shared" ref="F502" si="1114">E502/$E$459</f>
        <v>4.2517198943603359E-3</v>
      </c>
      <c r="G502" s="143">
        <v>5300</v>
      </c>
      <c r="H502" s="27">
        <f t="shared" ref="H502" si="1115">IF(OR(E502=G502,AND(E502="",G502=0),AND(E502=0,G502="")),0%,IF(OR(G502="",G502=0),100%,(E502-G502)/ABS(G502)))</f>
        <v>-7.1603773584905661E-2</v>
      </c>
      <c r="I502" s="35">
        <f t="shared" ref="I502" si="1116">IF(OR(D502=0,D502=""),0,E502/D502)</f>
        <v>60.746913580246911</v>
      </c>
      <c r="J502" s="68">
        <f t="shared" ref="J502" si="1117">E502/C502</f>
        <v>39.363999999999997</v>
      </c>
      <c r="K502" s="1"/>
    </row>
    <row r="503" spans="1:11" s="86" customFormat="1" ht="14.25" customHeight="1" x14ac:dyDescent="0.3">
      <c r="A503" s="135" t="s">
        <v>557</v>
      </c>
      <c r="B503" s="98" t="s">
        <v>2463</v>
      </c>
      <c r="C503" s="143">
        <v>240</v>
      </c>
      <c r="D503" s="143">
        <v>11</v>
      </c>
      <c r="E503" s="143">
        <v>12534</v>
      </c>
      <c r="F503" s="62">
        <f t="shared" ref="F503:F505" si="1118">E503/$E$459</f>
        <v>1.0830415030162067E-2</v>
      </c>
      <c r="G503" s="143">
        <v>15495</v>
      </c>
      <c r="H503" s="27">
        <f t="shared" ref="H503:H505" si="1119">IF(OR(E503=G503,AND(E503="",G503=0),AND(E503=0,G503="")),0%,IF(OR(G503="",G503=0),100%,(E503-G503)/ABS(G503)))</f>
        <v>-0.19109390125847048</v>
      </c>
      <c r="I503" s="35">
        <f t="shared" ref="I503:I505" si="1120">IF(OR(D503=0,D503=""),0,E503/D503)</f>
        <v>1139.4545454545455</v>
      </c>
      <c r="J503" s="68">
        <f t="shared" ref="J503:J505" si="1121">E503/C503</f>
        <v>52.225000000000001</v>
      </c>
      <c r="K503" s="1"/>
    </row>
    <row r="504" spans="1:11" s="86" customFormat="1" ht="14.25" customHeight="1" x14ac:dyDescent="0.3">
      <c r="A504" s="135" t="s">
        <v>1149</v>
      </c>
      <c r="B504" s="98" t="s">
        <v>2298</v>
      </c>
      <c r="C504" s="143">
        <v>404</v>
      </c>
      <c r="D504" s="143">
        <v>104</v>
      </c>
      <c r="E504" s="143">
        <v>22762</v>
      </c>
      <c r="F504" s="62">
        <f t="shared" ref="F504" si="1122">E504/$E$459</f>
        <v>1.9668254899995928E-2</v>
      </c>
      <c r="G504" s="143">
        <v>21210</v>
      </c>
      <c r="H504" s="27">
        <f t="shared" ref="H504" si="1123">IF(OR(E504=G504,AND(E504="",G504=0),AND(E504=0,G504="")),0%,IF(OR(G504="",G504=0),100%,(E504-G504)/ABS(G504)))</f>
        <v>7.3173031588873172E-2</v>
      </c>
      <c r="I504" s="35">
        <f t="shared" ref="I504" si="1124">IF(OR(D504=0,D504=""),0,E504/D504)</f>
        <v>218.86538461538461</v>
      </c>
      <c r="J504" s="68">
        <f t="shared" ref="J504" si="1125">E504/C504</f>
        <v>56.341584158415841</v>
      </c>
      <c r="K504" s="1"/>
    </row>
    <row r="505" spans="1:11" s="86" customFormat="1" ht="14.25" customHeight="1" x14ac:dyDescent="0.3">
      <c r="A505" s="135" t="s">
        <v>1089</v>
      </c>
      <c r="B505" s="98" t="s">
        <v>2464</v>
      </c>
      <c r="C505" s="143">
        <v>75.19</v>
      </c>
      <c r="D505" s="143">
        <v>141</v>
      </c>
      <c r="E505" s="143">
        <v>19477.8</v>
      </c>
      <c r="F505" s="62">
        <f t="shared" si="1118"/>
        <v>1.6830433849887562E-2</v>
      </c>
      <c r="G505" s="143">
        <v>17880</v>
      </c>
      <c r="H505" s="27">
        <f t="shared" si="1119"/>
        <v>8.9362416107382506E-2</v>
      </c>
      <c r="I505" s="35">
        <f t="shared" si="1120"/>
        <v>138.1404255319149</v>
      </c>
      <c r="J505" s="68">
        <f t="shared" si="1121"/>
        <v>259.0477457108658</v>
      </c>
      <c r="K505" s="1"/>
    </row>
    <row r="506" spans="1:11" s="86" customFormat="1" ht="14.25" customHeight="1" x14ac:dyDescent="0.3">
      <c r="A506" s="135" t="s">
        <v>912</v>
      </c>
      <c r="B506" s="98" t="s">
        <v>2299</v>
      </c>
      <c r="C506" s="143">
        <v>402.76</v>
      </c>
      <c r="D506" s="143">
        <v>78</v>
      </c>
      <c r="E506" s="143">
        <v>40263</v>
      </c>
      <c r="F506" s="62">
        <f t="shared" ref="F506" si="1126">E506/$E$459</f>
        <v>3.4790569679225732E-2</v>
      </c>
      <c r="G506" s="143">
        <v>40837</v>
      </c>
      <c r="H506" s="27">
        <f t="shared" ref="H506" si="1127">IF(OR(E506=G506,AND(E506="",G506=0),AND(E506=0,G506="")),0%,IF(OR(G506="",G506=0),100%,(E506-G506)/ABS(G506)))</f>
        <v>-1.4055880696427259E-2</v>
      </c>
      <c r="I506" s="35">
        <f t="shared" ref="I506" si="1128">IF(OR(D506=0,D506=""),0,E506/D506)</f>
        <v>516.19230769230774</v>
      </c>
      <c r="J506" s="68">
        <f t="shared" ref="J506" si="1129">E506/C506</f>
        <v>99.967722713278377</v>
      </c>
      <c r="K506" s="1"/>
    </row>
    <row r="507" spans="1:11" s="86" customFormat="1" ht="14.25" customHeight="1" x14ac:dyDescent="0.15">
      <c r="A507" s="134" t="s">
        <v>530</v>
      </c>
      <c r="B507" s="98" t="s">
        <v>2300</v>
      </c>
      <c r="C507" s="143">
        <v>15</v>
      </c>
      <c r="D507" s="143">
        <v>37</v>
      </c>
      <c r="E507" s="143">
        <v>1222</v>
      </c>
      <c r="F507" s="62">
        <f t="shared" ref="F507:F515" si="1130">E507/$E$459</f>
        <v>1.0559093000525009E-3</v>
      </c>
      <c r="G507" s="143">
        <v>1521</v>
      </c>
      <c r="H507" s="27">
        <f t="shared" ref="H507:H515" si="1131">IF(OR(E507=G507,AND(E507="",G507=0),AND(E507=0,G507="")),0%,IF(OR(G507="",G507=0),100%,(E507-G507)/ABS(G507)))</f>
        <v>-0.19658119658119658</v>
      </c>
      <c r="I507" s="35">
        <f t="shared" ref="I507" si="1132">IF(OR(D507=0,D507=""),0,E507/D507)</f>
        <v>33.027027027027025</v>
      </c>
      <c r="J507" s="68">
        <f t="shared" ref="J507" si="1133">E507/C507</f>
        <v>81.466666666666669</v>
      </c>
      <c r="K507" s="1"/>
    </row>
    <row r="508" spans="1:11" s="86" customFormat="1" ht="14.25" customHeight="1" x14ac:dyDescent="0.15">
      <c r="A508" s="134" t="s">
        <v>889</v>
      </c>
      <c r="B508" s="98" t="s">
        <v>2465</v>
      </c>
      <c r="C508" s="143">
        <v>150</v>
      </c>
      <c r="D508" s="143">
        <v>125</v>
      </c>
      <c r="E508" s="143">
        <v>30329</v>
      </c>
      <c r="F508" s="62">
        <f t="shared" ref="F508" si="1134">E508/$E$459</f>
        <v>2.6206770181090262E-2</v>
      </c>
      <c r="G508" s="143">
        <v>26306</v>
      </c>
      <c r="H508" s="27">
        <f t="shared" ref="H508" si="1135">IF(OR(E508=G508,AND(E508="",G508=0),AND(E508=0,G508="")),0%,IF(OR(G508="",G508=0),100%,(E508-G508)/ABS(G508)))</f>
        <v>0.15293089029118831</v>
      </c>
      <c r="I508" s="35">
        <f t="shared" ref="I508:I515" si="1136">IF(OR(D508=0,D508=""),0,E508/D508)</f>
        <v>242.63200000000001</v>
      </c>
      <c r="J508" s="68">
        <f t="shared" ref="J508:J516" si="1137">E508/C508</f>
        <v>202.19333333333333</v>
      </c>
      <c r="K508" s="1"/>
    </row>
    <row r="509" spans="1:11" s="86" customFormat="1" ht="14.25" customHeight="1" x14ac:dyDescent="0.15">
      <c r="A509" s="134" t="s">
        <v>996</v>
      </c>
      <c r="B509" s="98" t="s">
        <v>2301</v>
      </c>
      <c r="C509" s="143">
        <v>263</v>
      </c>
      <c r="D509" s="143">
        <v>47</v>
      </c>
      <c r="E509" s="143">
        <v>13044</v>
      </c>
      <c r="F509" s="62">
        <f t="shared" ref="F509" si="1138">E509/$E$459</f>
        <v>1.1271097307598054E-2</v>
      </c>
      <c r="G509" s="143">
        <v>9748</v>
      </c>
      <c r="H509" s="27">
        <f t="shared" ref="H509" si="1139">IF(OR(E509=G509,AND(E509="",G509=0),AND(E509=0,G509="")),0%,IF(OR(G509="",G509=0),100%,(E509-G509)/ABS(G509)))</f>
        <v>0.33812064013130899</v>
      </c>
      <c r="I509" s="35">
        <f t="shared" ref="I509" si="1140">IF(OR(D509=0,D509=""),0,E509/D509)</f>
        <v>277.531914893617</v>
      </c>
      <c r="J509" s="68">
        <f t="shared" ref="J509" si="1141">E509/C509</f>
        <v>49.596958174904941</v>
      </c>
      <c r="K509" s="1"/>
    </row>
    <row r="510" spans="1:11" ht="14.25" customHeight="1" x14ac:dyDescent="0.15">
      <c r="A510" s="134" t="s">
        <v>532</v>
      </c>
      <c r="B510" s="98" t="s">
        <v>2466</v>
      </c>
      <c r="C510" s="143">
        <v>56</v>
      </c>
      <c r="D510" s="143">
        <v>78</v>
      </c>
      <c r="E510" s="143">
        <v>3251</v>
      </c>
      <c r="F510" s="62">
        <f t="shared" si="1130"/>
        <v>2.8091334979301803E-3</v>
      </c>
      <c r="G510" s="143">
        <v>2220</v>
      </c>
      <c r="H510" s="27">
        <f t="shared" si="1131"/>
        <v>0.46441441441441439</v>
      </c>
      <c r="I510" s="35">
        <f t="shared" si="1136"/>
        <v>41.679487179487182</v>
      </c>
      <c r="J510" s="68">
        <f t="shared" si="1137"/>
        <v>58.053571428571431</v>
      </c>
      <c r="K510" s="1"/>
    </row>
    <row r="511" spans="1:11" s="86" customFormat="1" ht="14.25" customHeight="1" x14ac:dyDescent="0.15">
      <c r="A511" s="134" t="s">
        <v>974</v>
      </c>
      <c r="B511" s="98" t="s">
        <v>2302</v>
      </c>
      <c r="C511" s="143">
        <v>185</v>
      </c>
      <c r="D511" s="143">
        <v>40</v>
      </c>
      <c r="E511" s="143">
        <v>9787</v>
      </c>
      <c r="F511" s="62">
        <f t="shared" si="1130"/>
        <v>8.4567793122862743E-3</v>
      </c>
      <c r="G511" s="143">
        <v>12941</v>
      </c>
      <c r="H511" s="27">
        <f t="shared" si="1131"/>
        <v>-0.24372150529325401</v>
      </c>
      <c r="I511" s="35">
        <f t="shared" si="1136"/>
        <v>244.67500000000001</v>
      </c>
      <c r="J511" s="68">
        <f t="shared" si="1137"/>
        <v>52.902702702702705</v>
      </c>
      <c r="K511" s="1"/>
    </row>
    <row r="512" spans="1:11" s="86" customFormat="1" ht="14.25" customHeight="1" x14ac:dyDescent="0.15">
      <c r="A512" s="134" t="s">
        <v>978</v>
      </c>
      <c r="B512" s="98" t="s">
        <v>2303</v>
      </c>
      <c r="C512" s="143">
        <v>445</v>
      </c>
      <c r="D512" s="143">
        <v>44</v>
      </c>
      <c r="E512" s="143">
        <v>16804</v>
      </c>
      <c r="F512" s="62">
        <f t="shared" ref="F512:F514" si="1142">E512/$E$459</f>
        <v>1.4520049000067288E-2</v>
      </c>
      <c r="G512" s="143">
        <v>16536</v>
      </c>
      <c r="H512" s="27">
        <f t="shared" ref="H512:H514" si="1143">IF(OR(E512=G512,AND(E512="",G512=0),AND(E512=0,G512="")),0%,IF(OR(G512="",G512=0),100%,(E512-G512)/ABS(G512)))</f>
        <v>1.6207063376874699E-2</v>
      </c>
      <c r="I512" s="35">
        <f t="shared" ref="I512:I514" si="1144">IF(OR(D512=0,D512=""),0,E512/D512)</f>
        <v>381.90909090909093</v>
      </c>
      <c r="J512" s="68">
        <f t="shared" ref="J512:J514" si="1145">E512/C512</f>
        <v>37.761797752808988</v>
      </c>
      <c r="K512" s="1"/>
    </row>
    <row r="513" spans="1:11" s="86" customFormat="1" ht="14.25" customHeight="1" x14ac:dyDescent="0.15">
      <c r="A513" s="134" t="s">
        <v>1036</v>
      </c>
      <c r="B513" s="98" t="s">
        <v>2467</v>
      </c>
      <c r="C513" s="143">
        <v>247.15</v>
      </c>
      <c r="D513" s="143">
        <v>27</v>
      </c>
      <c r="E513" s="143">
        <v>13050</v>
      </c>
      <c r="F513" s="62">
        <f t="shared" ref="F513" si="1146">E513/$E$459</f>
        <v>1.1276281804979653E-2</v>
      </c>
      <c r="G513" s="143">
        <v>10753</v>
      </c>
      <c r="H513" s="27">
        <f t="shared" ref="H513" si="1147">IF(OR(E513=G513,AND(E513="",G513=0),AND(E513=0,G513="")),0%,IF(OR(G513="",G513=0),100%,(E513-G513)/ABS(G513)))</f>
        <v>0.21361480517065004</v>
      </c>
      <c r="I513" s="35">
        <f t="shared" ref="I513" si="1148">IF(OR(D513=0,D513=""),0,E513/D513)</f>
        <v>483.33333333333331</v>
      </c>
      <c r="J513" s="68">
        <f t="shared" ref="J513" si="1149">E513/C513</f>
        <v>52.801942140400563</v>
      </c>
      <c r="K513" s="1"/>
    </row>
    <row r="514" spans="1:11" s="86" customFormat="1" ht="14.25" customHeight="1" x14ac:dyDescent="0.15">
      <c r="A514" s="134" t="s">
        <v>979</v>
      </c>
      <c r="B514" s="98" t="s">
        <v>2304</v>
      </c>
      <c r="C514" s="143">
        <v>298</v>
      </c>
      <c r="D514" s="143">
        <v>16</v>
      </c>
      <c r="E514" s="143">
        <v>7536</v>
      </c>
      <c r="F514" s="62">
        <f t="shared" si="1142"/>
        <v>6.5117287112894003E-3</v>
      </c>
      <c r="G514" s="143">
        <v>8200</v>
      </c>
      <c r="H514" s="27">
        <f t="shared" si="1143"/>
        <v>-8.0975609756097564E-2</v>
      </c>
      <c r="I514" s="35">
        <f t="shared" si="1144"/>
        <v>471</v>
      </c>
      <c r="J514" s="68">
        <f t="shared" si="1145"/>
        <v>25.288590604026847</v>
      </c>
      <c r="K514" s="1"/>
    </row>
    <row r="515" spans="1:11" s="86" customFormat="1" ht="14.25" customHeight="1" x14ac:dyDescent="0.15">
      <c r="A515" s="134" t="s">
        <v>951</v>
      </c>
      <c r="B515" s="98" t="s">
        <v>2468</v>
      </c>
      <c r="C515" s="143">
        <v>197.34</v>
      </c>
      <c r="D515" s="143">
        <v>52</v>
      </c>
      <c r="E515" s="143">
        <v>19268</v>
      </c>
      <c r="F515" s="62">
        <f t="shared" si="1130"/>
        <v>1.6649149258110955E-2</v>
      </c>
      <c r="G515" s="143">
        <v>16184</v>
      </c>
      <c r="H515" s="27">
        <f t="shared" si="1131"/>
        <v>0.19055857637172516</v>
      </c>
      <c r="I515" s="35">
        <f t="shared" si="1136"/>
        <v>370.53846153846155</v>
      </c>
      <c r="J515" s="68">
        <f t="shared" si="1137"/>
        <v>97.638593290767204</v>
      </c>
      <c r="K515" s="1"/>
    </row>
    <row r="516" spans="1:11" s="86" customFormat="1" ht="14.25" customHeight="1" x14ac:dyDescent="0.15">
      <c r="A516" s="134" t="s">
        <v>952</v>
      </c>
      <c r="B516" s="98" t="s">
        <v>2469</v>
      </c>
      <c r="C516" s="143">
        <v>246</v>
      </c>
      <c r="D516" s="143">
        <v>42</v>
      </c>
      <c r="E516" s="143">
        <v>6240</v>
      </c>
      <c r="F516" s="62">
        <f t="shared" ref="F516" si="1150">E516/$E$459</f>
        <v>5.3918772768638346E-3</v>
      </c>
      <c r="G516" s="143">
        <v>5847</v>
      </c>
      <c r="H516" s="27">
        <f t="shared" ref="H516" si="1151">IF(OR(E516=G516,AND(E516="",G516=0),AND(E516=0,G516="")),0%,IF(OR(G516="",G516=0),100%,(E516-G516)/ABS(G516)))</f>
        <v>6.7213955874807593E-2</v>
      </c>
      <c r="I516" s="35">
        <f t="shared" ref="I516" si="1152">IF(OR(D516=0,D516=""),0,E516/D516)</f>
        <v>148.57142857142858</v>
      </c>
      <c r="J516" s="68">
        <f t="shared" si="1137"/>
        <v>25.365853658536587</v>
      </c>
      <c r="K516" s="1"/>
    </row>
    <row r="517" spans="1:11" s="86" customFormat="1" ht="14.25" customHeight="1" x14ac:dyDescent="0.15">
      <c r="A517" s="134" t="s">
        <v>997</v>
      </c>
      <c r="B517" s="98" t="s">
        <v>2305</v>
      </c>
      <c r="C517" s="143">
        <v>244.86</v>
      </c>
      <c r="D517" s="143">
        <v>36</v>
      </c>
      <c r="E517" s="143">
        <v>7274</v>
      </c>
      <c r="F517" s="62">
        <f t="shared" ref="F517" si="1153">E517/$E$459</f>
        <v>6.2853389922928734E-3</v>
      </c>
      <c r="G517" s="143">
        <v>7855</v>
      </c>
      <c r="H517" s="27">
        <f t="shared" ref="H517" si="1154">IF(OR(E517=G517,AND(E517="",G517=0),AND(E517=0,G517="")),0%,IF(OR(G517="",G517=0),100%,(E517-G517)/ABS(G517)))</f>
        <v>-7.396562698917887E-2</v>
      </c>
      <c r="I517" s="35">
        <f t="shared" ref="I517" si="1155">IF(OR(D517=0,D517=""),0,E517/D517)</f>
        <v>202.05555555555554</v>
      </c>
      <c r="J517" s="68">
        <f t="shared" ref="J517" si="1156">E517/C517</f>
        <v>29.706771216205176</v>
      </c>
      <c r="K517" s="1"/>
    </row>
    <row r="518" spans="1:11" s="86" customFormat="1" ht="14.25" customHeight="1" x14ac:dyDescent="0.15">
      <c r="A518" s="134" t="s">
        <v>864</v>
      </c>
      <c r="B518" s="98" t="s">
        <v>2306</v>
      </c>
      <c r="C518" s="143">
        <v>32.75</v>
      </c>
      <c r="D518" s="143">
        <v>21</v>
      </c>
      <c r="E518" s="143">
        <v>1796</v>
      </c>
      <c r="F518" s="62">
        <f t="shared" ref="F518" si="1157">E518/$E$459</f>
        <v>1.551892882892219E-3</v>
      </c>
      <c r="G518" s="143">
        <v>2100</v>
      </c>
      <c r="H518" s="27">
        <f t="shared" ref="H518" si="1158">IF(OR(E518=G518,AND(E518="",G518=0),AND(E518=0,G518="")),0%,IF(OR(G518="",G518=0),100%,(E518-G518)/ABS(G518)))</f>
        <v>-0.14476190476190476</v>
      </c>
      <c r="I518" s="35">
        <f t="shared" ref="I518" si="1159">IF(OR(D518=0,D518=""),0,E518/D518)</f>
        <v>85.523809523809518</v>
      </c>
      <c r="J518" s="68">
        <f t="shared" ref="J518" si="1160">E518/C518</f>
        <v>54.839694656488547</v>
      </c>
      <c r="K518" s="1"/>
    </row>
    <row r="519" spans="1:11" s="86" customFormat="1" ht="14.25" customHeight="1" x14ac:dyDescent="0.15">
      <c r="A519" s="134" t="s">
        <v>1079</v>
      </c>
      <c r="B519" s="98" t="s">
        <v>2307</v>
      </c>
      <c r="C519" s="143">
        <v>16</v>
      </c>
      <c r="D519" s="143">
        <v>46</v>
      </c>
      <c r="E519" s="143">
        <v>1848</v>
      </c>
      <c r="F519" s="62">
        <f t="shared" ref="F519:F520" si="1161">E519/$E$459</f>
        <v>1.5968251935327511E-3</v>
      </c>
      <c r="G519" s="143">
        <v>3354</v>
      </c>
      <c r="H519" s="27">
        <f t="shared" ref="H519:H520" si="1162">IF(OR(E519=G519,AND(E519="",G519=0),AND(E519=0,G519="")),0%,IF(OR(G519="",G519=0),100%,(E519-G519)/ABS(G519)))</f>
        <v>-0.44901610017889088</v>
      </c>
      <c r="I519" s="35">
        <f t="shared" ref="I519:I520" si="1163">IF(OR(D519=0,D519=""),0,E519/D519)</f>
        <v>40.173913043478258</v>
      </c>
      <c r="J519" s="68">
        <f t="shared" ref="J519:J520" si="1164">E519/C519</f>
        <v>115.5</v>
      </c>
      <c r="K519" s="1"/>
    </row>
    <row r="520" spans="1:11" s="86" customFormat="1" ht="14.25" customHeight="1" x14ac:dyDescent="0.15">
      <c r="A520" s="134" t="s">
        <v>1132</v>
      </c>
      <c r="B520" s="98" t="s">
        <v>2308</v>
      </c>
      <c r="C520" s="143">
        <v>20</v>
      </c>
      <c r="D520" s="143">
        <v>6</v>
      </c>
      <c r="E520" s="143">
        <v>355</v>
      </c>
      <c r="F520" s="62">
        <f t="shared" si="1161"/>
        <v>3.0674942841132393E-4</v>
      </c>
      <c r="G520" s="143">
        <v>405</v>
      </c>
      <c r="H520" s="27">
        <f t="shared" si="1162"/>
        <v>-0.12345679012345678</v>
      </c>
      <c r="I520" s="35">
        <f t="shared" si="1163"/>
        <v>59.166666666666664</v>
      </c>
      <c r="J520" s="68">
        <f t="shared" si="1164"/>
        <v>17.75</v>
      </c>
      <c r="K520" s="1"/>
    </row>
    <row r="521" spans="1:11" s="86" customFormat="1" ht="14.25" customHeight="1" x14ac:dyDescent="0.15">
      <c r="A521" s="134" t="s">
        <v>1879</v>
      </c>
      <c r="B521" s="98" t="s">
        <v>2010</v>
      </c>
      <c r="C521" s="143">
        <v>30</v>
      </c>
      <c r="D521" s="143">
        <v>12</v>
      </c>
      <c r="E521" s="143">
        <v>1640</v>
      </c>
      <c r="F521" s="62">
        <f t="shared" ref="F521" si="1165">E521/$E$459</f>
        <v>1.4170959509706232E-3</v>
      </c>
      <c r="G521" s="143">
        <v>724</v>
      </c>
      <c r="H521" s="27">
        <f t="shared" ref="H521" si="1166">IF(OR(E521=G521,AND(E521="",G521=0),AND(E521=0,G521="")),0%,IF(OR(G521="",G521=0),100%,(E521-G521)/ABS(G521)))</f>
        <v>1.2651933701657458</v>
      </c>
      <c r="I521" s="35">
        <f t="shared" ref="I521" si="1167">IF(OR(D521=0,D521=""),0,E521/D521)</f>
        <v>136.66666666666666</v>
      </c>
      <c r="J521" s="68">
        <f t="shared" ref="J521" si="1168">E521/C521</f>
        <v>54.666666666666664</v>
      </c>
      <c r="K521" s="1"/>
    </row>
    <row r="522" spans="1:11" s="86" customFormat="1" ht="14.25" customHeight="1" x14ac:dyDescent="0.15">
      <c r="A522" s="134" t="s">
        <v>780</v>
      </c>
      <c r="B522" s="98" t="s">
        <v>2470</v>
      </c>
      <c r="C522" s="143">
        <v>290</v>
      </c>
      <c r="D522" s="143">
        <v>61</v>
      </c>
      <c r="E522" s="143">
        <v>15524.5</v>
      </c>
      <c r="F522" s="62">
        <f t="shared" ref="F522" si="1169">E522/$E$459</f>
        <v>1.3414454933441122E-2</v>
      </c>
      <c r="G522" s="143">
        <v>9892.9</v>
      </c>
      <c r="H522" s="27">
        <f t="shared" ref="H522" si="1170">IF(OR(E522=G522,AND(E522="",G522=0),AND(E522=0,G522="")),0%,IF(OR(G522="",G522=0),100%,(E522-G522)/ABS(G522)))</f>
        <v>0.56925673968199419</v>
      </c>
      <c r="I522" s="35">
        <f t="shared" ref="I522" si="1171">IF(OR(D522=0,D522=""),0,E522/D522)</f>
        <v>254.5</v>
      </c>
      <c r="J522" s="68">
        <f t="shared" ref="J522" si="1172">E522/C522</f>
        <v>53.532758620689656</v>
      </c>
      <c r="K522" s="1"/>
    </row>
    <row r="523" spans="1:11" s="86" customFormat="1" ht="14.25" customHeight="1" x14ac:dyDescent="0.15">
      <c r="A523" s="134" t="s">
        <v>1113</v>
      </c>
      <c r="B523" s="98" t="s">
        <v>2309</v>
      </c>
      <c r="C523" s="143">
        <v>280</v>
      </c>
      <c r="D523" s="143">
        <v>69</v>
      </c>
      <c r="E523" s="143">
        <v>12698</v>
      </c>
      <c r="F523" s="62">
        <f t="shared" ref="F523" si="1173">E523/$E$459</f>
        <v>1.0972124625259131E-2</v>
      </c>
      <c r="G523" s="143">
        <v>12846</v>
      </c>
      <c r="H523" s="27">
        <f t="shared" ref="H523" si="1174">IF(OR(E523=G523,AND(E523="",G523=0),AND(E523=0,G523="")),0%,IF(OR(G523="",G523=0),100%,(E523-G523)/ABS(G523)))</f>
        <v>-1.1521096061030672E-2</v>
      </c>
      <c r="I523" s="35">
        <f t="shared" ref="I523" si="1175">IF(OR(D523=0,D523=""),0,E523/D523)</f>
        <v>184.02898550724638</v>
      </c>
      <c r="J523" s="68">
        <f t="shared" ref="J523" si="1176">E523/C523</f>
        <v>45.35</v>
      </c>
      <c r="K523" s="1"/>
    </row>
    <row r="524" spans="1:11" s="86" customFormat="1" ht="14.25" customHeight="1" x14ac:dyDescent="0.15">
      <c r="A524" s="134" t="s">
        <v>142</v>
      </c>
      <c r="B524" s="98" t="s">
        <v>2471</v>
      </c>
      <c r="C524" s="143">
        <v>283.75</v>
      </c>
      <c r="D524" s="143">
        <v>37</v>
      </c>
      <c r="E524" s="143">
        <v>19234</v>
      </c>
      <c r="F524" s="62">
        <f>E524/$E$459</f>
        <v>1.6619770439615222E-2</v>
      </c>
      <c r="G524" s="143">
        <v>15996</v>
      </c>
      <c r="H524" s="27">
        <f t="shared" si="1029"/>
        <v>0.2024256064016004</v>
      </c>
      <c r="I524" s="35">
        <f t="shared" si="1030"/>
        <v>519.83783783783781</v>
      </c>
      <c r="J524" s="68">
        <f t="shared" ref="J524:J563" si="1177">E524/C524</f>
        <v>67.785022026431719</v>
      </c>
      <c r="K524" s="1"/>
    </row>
    <row r="525" spans="1:11" ht="14.25" customHeight="1" x14ac:dyDescent="0.15">
      <c r="A525" s="134" t="s">
        <v>143</v>
      </c>
      <c r="B525" s="98" t="s">
        <v>2472</v>
      </c>
      <c r="C525" s="143">
        <v>258.79000000000002</v>
      </c>
      <c r="D525" s="143">
        <v>62</v>
      </c>
      <c r="E525" s="143">
        <v>10645</v>
      </c>
      <c r="F525" s="62">
        <f>E525/$E$459</f>
        <v>9.1981624378550501E-3</v>
      </c>
      <c r="G525" s="143">
        <v>11712</v>
      </c>
      <c r="H525" s="27">
        <f t="shared" si="1029"/>
        <v>-9.1103142076502733E-2</v>
      </c>
      <c r="I525" s="35">
        <f t="shared" si="1030"/>
        <v>171.69354838709677</v>
      </c>
      <c r="J525" s="68">
        <f t="shared" si="1177"/>
        <v>41.133737779666909</v>
      </c>
      <c r="K525" s="1"/>
    </row>
    <row r="526" spans="1:11" s="86" customFormat="1" ht="14.25" customHeight="1" x14ac:dyDescent="0.15">
      <c r="A526" s="134" t="s">
        <v>1103</v>
      </c>
      <c r="B526" s="98" t="s">
        <v>2473</v>
      </c>
      <c r="C526" s="143">
        <v>232</v>
      </c>
      <c r="D526" s="143">
        <v>108</v>
      </c>
      <c r="E526" s="143">
        <v>15538</v>
      </c>
      <c r="F526" s="62">
        <f t="shared" ref="F526" si="1178">E526/$E$459</f>
        <v>1.3426120052549721E-2</v>
      </c>
      <c r="G526" s="143">
        <v>17112</v>
      </c>
      <c r="H526" s="27">
        <f t="shared" si="1029"/>
        <v>-9.1982234689107059E-2</v>
      </c>
      <c r="I526" s="35">
        <f t="shared" si="1030"/>
        <v>143.87037037037038</v>
      </c>
      <c r="J526" s="68">
        <f t="shared" si="1177"/>
        <v>66.974137931034477</v>
      </c>
      <c r="K526" s="1"/>
    </row>
    <row r="527" spans="1:11" s="86" customFormat="1" ht="14.25" customHeight="1" x14ac:dyDescent="0.15">
      <c r="A527" s="134" t="s">
        <v>1592</v>
      </c>
      <c r="B527" s="98" t="s">
        <v>2310</v>
      </c>
      <c r="C527" s="143">
        <v>303.31</v>
      </c>
      <c r="D527" s="143">
        <v>22</v>
      </c>
      <c r="E527" s="143">
        <v>11534</v>
      </c>
      <c r="F527" s="62">
        <f t="shared" ref="F527" si="1179">E527/$E$459</f>
        <v>9.966332133228761E-3</v>
      </c>
      <c r="G527" s="143">
        <v>14969</v>
      </c>
      <c r="H527" s="27">
        <f t="shared" ref="H527" si="1180">IF(OR(E527=G527,AND(E527="",G527=0),AND(E527=0,G527="")),0%,IF(OR(G527="",G527=0),100%,(E527-G527)/ABS(G527)))</f>
        <v>-0.22947424677667178</v>
      </c>
      <c r="I527" s="35">
        <f t="shared" ref="I527" si="1181">IF(OR(D527=0,D527=""),0,E527/D527)</f>
        <v>524.27272727272725</v>
      </c>
      <c r="J527" s="68">
        <f t="shared" ref="J527" si="1182">E527/C527</f>
        <v>38.027100985790113</v>
      </c>
      <c r="K527" s="1"/>
    </row>
    <row r="528" spans="1:11" s="86" customFormat="1" ht="14.25" customHeight="1" x14ac:dyDescent="0.15">
      <c r="A528" s="134" t="s">
        <v>1739</v>
      </c>
      <c r="B528" s="98" t="s">
        <v>2311</v>
      </c>
      <c r="C528" s="143">
        <v>218</v>
      </c>
      <c r="D528" s="143">
        <v>47</v>
      </c>
      <c r="E528" s="143">
        <v>15382</v>
      </c>
      <c r="F528" s="62">
        <f t="shared" ref="F528" si="1183">E528/$E$459</f>
        <v>1.3291323120628125E-2</v>
      </c>
      <c r="G528" s="143">
        <v>14653</v>
      </c>
      <c r="H528" s="27">
        <f t="shared" ref="H528" si="1184">IF(OR(E528=G528,AND(E528="",G528=0),AND(E528=0,G528="")),0%,IF(OR(G528="",G528=0),100%,(E528-G528)/ABS(G528)))</f>
        <v>4.9750904251689071E-2</v>
      </c>
      <c r="I528" s="35">
        <f t="shared" ref="I528" si="1185">IF(OR(D528=0,D528=""),0,E528/D528)</f>
        <v>327.27659574468083</v>
      </c>
      <c r="J528" s="68">
        <f t="shared" ref="J528" si="1186">E528/C528</f>
        <v>70.559633027522935</v>
      </c>
      <c r="K528" s="1"/>
    </row>
    <row r="529" spans="1:11" ht="14.25" customHeight="1" x14ac:dyDescent="0.15">
      <c r="A529" s="134" t="s">
        <v>144</v>
      </c>
      <c r="B529" s="98" t="s">
        <v>2474</v>
      </c>
      <c r="C529" s="143">
        <v>408.26</v>
      </c>
      <c r="D529" s="143">
        <v>48</v>
      </c>
      <c r="E529" s="143">
        <v>15384</v>
      </c>
      <c r="F529" s="62">
        <f>E529/$E$459</f>
        <v>1.3293051286421992E-2</v>
      </c>
      <c r="G529" s="143">
        <v>14944</v>
      </c>
      <c r="H529" s="27">
        <f t="shared" si="1029"/>
        <v>2.9443254817987152E-2</v>
      </c>
      <c r="I529" s="35">
        <f t="shared" si="1030"/>
        <v>320.5</v>
      </c>
      <c r="J529" s="68">
        <f t="shared" si="1177"/>
        <v>37.681869396952926</v>
      </c>
      <c r="K529" s="1"/>
    </row>
    <row r="530" spans="1:11" ht="14.25" customHeight="1" x14ac:dyDescent="0.15">
      <c r="A530" s="134" t="s">
        <v>345</v>
      </c>
      <c r="B530" s="98" t="s">
        <v>2475</v>
      </c>
      <c r="C530" s="143">
        <v>420.48</v>
      </c>
      <c r="D530" s="143">
        <v>146</v>
      </c>
      <c r="E530" s="143">
        <v>31894</v>
      </c>
      <c r="F530" s="62">
        <f t="shared" ref="F530" si="1187">E530/$E$459</f>
        <v>2.7559059914790886E-2</v>
      </c>
      <c r="G530" s="143">
        <v>27457</v>
      </c>
      <c r="H530" s="27">
        <f t="shared" ref="H530" si="1188">IF(OR(E530=G530,AND(E530="",G530=0),AND(E530=0,G530="")),0%,IF(OR(G530="",G530=0),100%,(E530-G530)/ABS(G530)))</f>
        <v>0.16159813526605238</v>
      </c>
      <c r="I530" s="35">
        <f t="shared" ref="I530" si="1189">IF(OR(D530=0,D530=""),0,E530/D530)</f>
        <v>218.45205479452054</v>
      </c>
      <c r="J530" s="68">
        <f t="shared" ref="J530" si="1190">E530/C530</f>
        <v>75.851407914764081</v>
      </c>
      <c r="K530" s="1"/>
    </row>
    <row r="531" spans="1:11" s="86" customFormat="1" ht="14.25" customHeight="1" x14ac:dyDescent="0.15">
      <c r="A531" s="134" t="s">
        <v>943</v>
      </c>
      <c r="B531" s="98" t="s">
        <v>2476</v>
      </c>
      <c r="C531" s="143">
        <v>583.22</v>
      </c>
      <c r="D531" s="143">
        <v>28</v>
      </c>
      <c r="E531" s="143">
        <v>13209</v>
      </c>
      <c r="F531" s="62">
        <f t="shared" ref="F531" si="1191">E531/$E$459</f>
        <v>1.141367098559205E-2</v>
      </c>
      <c r="G531" s="143">
        <v>16000</v>
      </c>
      <c r="H531" s="27">
        <f t="shared" ref="H531" si="1192">IF(OR(E531=G531,AND(E531="",G531=0),AND(E531=0,G531="")),0%,IF(OR(G531="",G531=0),100%,(E531-G531)/ABS(G531)))</f>
        <v>-0.1744375</v>
      </c>
      <c r="I531" s="35">
        <f t="shared" ref="I531" si="1193">IF(OR(D531=0,D531=""),0,E531/D531)</f>
        <v>471.75</v>
      </c>
      <c r="J531" s="68">
        <f t="shared" ref="J531" si="1194">E531/C531</f>
        <v>22.648400260622061</v>
      </c>
      <c r="K531" s="1"/>
    </row>
    <row r="532" spans="1:11" ht="14.25" customHeight="1" x14ac:dyDescent="0.15">
      <c r="A532" s="134" t="s">
        <v>145</v>
      </c>
      <c r="B532" s="98" t="s">
        <v>2477</v>
      </c>
      <c r="C532" s="143">
        <v>787.98</v>
      </c>
      <c r="D532" s="143">
        <v>123</v>
      </c>
      <c r="E532" s="143">
        <v>21483</v>
      </c>
      <c r="F532" s="62">
        <f t="shared" ref="F532:F548" si="1195">E532/$E$459</f>
        <v>1.8563092874818232E-2</v>
      </c>
      <c r="G532" s="143">
        <v>19680</v>
      </c>
      <c r="H532" s="27">
        <f t="shared" si="1029"/>
        <v>9.1615853658536583E-2</v>
      </c>
      <c r="I532" s="35">
        <f t="shared" si="1030"/>
        <v>174.65853658536585</v>
      </c>
      <c r="J532" s="68">
        <f t="shared" si="1177"/>
        <v>27.263382319348207</v>
      </c>
      <c r="K532" s="1"/>
    </row>
    <row r="533" spans="1:11" s="86" customFormat="1" ht="14.25" customHeight="1" x14ac:dyDescent="0.15">
      <c r="A533" s="134" t="s">
        <v>735</v>
      </c>
      <c r="B533" s="98" t="s">
        <v>2478</v>
      </c>
      <c r="C533" s="143">
        <v>98.52</v>
      </c>
      <c r="D533" s="143">
        <v>19</v>
      </c>
      <c r="E533" s="143">
        <v>4744</v>
      </c>
      <c r="F533" s="62">
        <f t="shared" ref="F533" si="1196">E533/$E$459</f>
        <v>4.0992092630516078E-3</v>
      </c>
      <c r="G533" s="143">
        <v>5038</v>
      </c>
      <c r="H533" s="27">
        <f t="shared" ref="H533" si="1197">IF(OR(E533=G533,AND(E533="",G533=0),AND(E533=0,G533="")),0%,IF(OR(G533="",G533=0),100%,(E533-G533)/ABS(G533)))</f>
        <v>-5.8356490670901151E-2</v>
      </c>
      <c r="I533" s="35">
        <f t="shared" ref="I533" si="1198">IF(OR(D533=0,D533=""),0,E533/D533)</f>
        <v>249.68421052631578</v>
      </c>
      <c r="J533" s="68">
        <f t="shared" ref="J533" si="1199">E533/C533</f>
        <v>48.152659358505886</v>
      </c>
      <c r="K533" s="1"/>
    </row>
    <row r="534" spans="1:11" s="86" customFormat="1" ht="14.25" customHeight="1" x14ac:dyDescent="0.15">
      <c r="A534" s="134" t="s">
        <v>813</v>
      </c>
      <c r="B534" s="98" t="s">
        <v>2312</v>
      </c>
      <c r="C534" s="143">
        <v>584.27</v>
      </c>
      <c r="D534" s="143">
        <v>116</v>
      </c>
      <c r="E534" s="143">
        <v>29921.8</v>
      </c>
      <c r="F534" s="62">
        <f t="shared" si="1195"/>
        <v>2.5854915625459021E-2</v>
      </c>
      <c r="G534" s="143">
        <v>38722.339999999997</v>
      </c>
      <c r="H534" s="27">
        <f t="shared" si="1029"/>
        <v>-0.22727293856724562</v>
      </c>
      <c r="I534" s="35">
        <f t="shared" si="1030"/>
        <v>257.94655172413792</v>
      </c>
      <c r="J534" s="68">
        <f t="shared" si="1177"/>
        <v>51.212281992914235</v>
      </c>
      <c r="K534" s="1"/>
    </row>
    <row r="535" spans="1:11" s="86" customFormat="1" ht="14.25" customHeight="1" x14ac:dyDescent="0.15">
      <c r="A535" s="134" t="s">
        <v>682</v>
      </c>
      <c r="B535" s="98" t="s">
        <v>2313</v>
      </c>
      <c r="C535" s="143">
        <v>134.41999999999999</v>
      </c>
      <c r="D535" s="143">
        <v>66</v>
      </c>
      <c r="E535" s="143">
        <v>4951</v>
      </c>
      <c r="F535" s="62">
        <f t="shared" ref="F535" si="1200">E535/$E$459</f>
        <v>4.2780744227168023E-3</v>
      </c>
      <c r="G535" s="143">
        <v>3162</v>
      </c>
      <c r="H535" s="27">
        <f t="shared" ref="H535" si="1201">IF(OR(E535=G535,AND(E535="",G535=0),AND(E535=0,G535="")),0%,IF(OR(G535="",G535=0),100%,(E535-G535)/ABS(G535)))</f>
        <v>0.56578115117014549</v>
      </c>
      <c r="I535" s="35">
        <f t="shared" ref="I535" si="1202">IF(OR(D535=0,D535=""),0,E535/D535)</f>
        <v>75.015151515151516</v>
      </c>
      <c r="J535" s="68">
        <f t="shared" ref="J535" si="1203">E535/C535</f>
        <v>36.832316619550667</v>
      </c>
      <c r="K535" s="1"/>
    </row>
    <row r="536" spans="1:11" s="86" customFormat="1" ht="14.25" customHeight="1" x14ac:dyDescent="0.15">
      <c r="A536" s="134" t="s">
        <v>822</v>
      </c>
      <c r="B536" s="98" t="s">
        <v>2314</v>
      </c>
      <c r="C536" s="143">
        <v>290</v>
      </c>
      <c r="D536" s="143">
        <v>68</v>
      </c>
      <c r="E536" s="143">
        <v>23943</v>
      </c>
      <c r="F536" s="62">
        <f t="shared" ref="F536" si="1204">E536/$E$459</f>
        <v>2.0688736801274164E-2</v>
      </c>
      <c r="G536" s="143">
        <v>33825</v>
      </c>
      <c r="H536" s="27">
        <f t="shared" ref="H536" si="1205">IF(OR(E536=G536,AND(E536="",G536=0),AND(E536=0,G536="")),0%,IF(OR(G536="",G536=0),100%,(E536-G536)/ABS(G536)))</f>
        <v>-0.2921507760532151</v>
      </c>
      <c r="I536" s="35">
        <f t="shared" ref="I536" si="1206">IF(OR(D536=0,D536=""),0,E536/D536)</f>
        <v>352.10294117647061</v>
      </c>
      <c r="J536" s="68">
        <f t="shared" ref="J536" si="1207">E536/C536</f>
        <v>82.562068965517241</v>
      </c>
      <c r="K536" s="1"/>
    </row>
    <row r="537" spans="1:11" s="86" customFormat="1" ht="14.25" customHeight="1" x14ac:dyDescent="0.15">
      <c r="A537" s="134" t="s">
        <v>815</v>
      </c>
      <c r="B537" s="98" t="s">
        <v>2479</v>
      </c>
      <c r="C537" s="143">
        <v>349.3</v>
      </c>
      <c r="D537" s="143">
        <v>46</v>
      </c>
      <c r="E537" s="143">
        <v>11537.8</v>
      </c>
      <c r="F537" s="62">
        <f t="shared" ref="F537" si="1208">E537/$E$459</f>
        <v>9.9696156482371075E-3</v>
      </c>
      <c r="G537" s="143">
        <v>10787</v>
      </c>
      <c r="H537" s="27">
        <f t="shared" ref="H537" si="1209">IF(OR(E537=G537,AND(E537="",G537=0),AND(E537=0,G537="")),0%,IF(OR(G537="",G537=0),100%,(E537-G537)/ABS(G537)))</f>
        <v>6.96022990636877E-2</v>
      </c>
      <c r="I537" s="35">
        <f t="shared" ref="I537" si="1210">IF(OR(D537=0,D537=""),0,E537/D537)</f>
        <v>250.82173913043476</v>
      </c>
      <c r="J537" s="68">
        <f t="shared" ref="J537" si="1211">E537/C537</f>
        <v>33.03120526767821</v>
      </c>
      <c r="K537" s="1"/>
    </row>
    <row r="538" spans="1:11" ht="14.25" customHeight="1" x14ac:dyDescent="0.15">
      <c r="A538" s="134" t="s">
        <v>690</v>
      </c>
      <c r="B538" s="98" t="s">
        <v>2480</v>
      </c>
      <c r="C538" s="143">
        <v>552</v>
      </c>
      <c r="D538" s="143">
        <v>110</v>
      </c>
      <c r="E538" s="143">
        <v>26211</v>
      </c>
      <c r="F538" s="62">
        <f t="shared" ref="F538:F539" si="1212">E538/$E$459</f>
        <v>2.2648476811518905E-2</v>
      </c>
      <c r="G538" s="143">
        <v>28662</v>
      </c>
      <c r="H538" s="27">
        <f t="shared" ref="H538:H539" si="1213">IF(OR(E538=G538,AND(E538="",G538=0),AND(E538=0,G538="")),0%,IF(OR(G538="",G538=0),100%,(E538-G538)/ABS(G538)))</f>
        <v>-8.5513920870839435E-2</v>
      </c>
      <c r="I538" s="35">
        <f t="shared" ref="I538:I539" si="1214">IF(OR(D538=0,D538=""),0,E538/D538)</f>
        <v>238.28181818181818</v>
      </c>
      <c r="J538" s="68">
        <f t="shared" ref="J538:J539" si="1215">E538/C538</f>
        <v>47.483695652173914</v>
      </c>
      <c r="K538" s="1"/>
    </row>
    <row r="539" spans="1:11" s="86" customFormat="1" ht="14.25" customHeight="1" x14ac:dyDescent="0.15">
      <c r="A539" s="134" t="s">
        <v>1135</v>
      </c>
      <c r="B539" s="98" t="s">
        <v>1919</v>
      </c>
      <c r="C539" s="143">
        <v>10</v>
      </c>
      <c r="D539" s="143"/>
      <c r="E539" s="143"/>
      <c r="F539" s="62">
        <f t="shared" si="1212"/>
        <v>0</v>
      </c>
      <c r="G539" s="143">
        <v>2256</v>
      </c>
      <c r="H539" s="27">
        <f t="shared" si="1213"/>
        <v>-1</v>
      </c>
      <c r="I539" s="35">
        <f t="shared" si="1214"/>
        <v>0</v>
      </c>
      <c r="J539" s="68">
        <f t="shared" si="1215"/>
        <v>0</v>
      </c>
      <c r="K539" s="1"/>
    </row>
    <row r="540" spans="1:11" s="86" customFormat="1" ht="14.25" customHeight="1" x14ac:dyDescent="0.15">
      <c r="A540" s="134" t="s">
        <v>376</v>
      </c>
      <c r="B540" s="98" t="s">
        <v>2481</v>
      </c>
      <c r="C540" s="143">
        <v>102.19</v>
      </c>
      <c r="D540" s="143">
        <v>222</v>
      </c>
      <c r="E540" s="143">
        <v>6549.1</v>
      </c>
      <c r="F540" s="62">
        <f t="shared" si="1195"/>
        <v>5.6589653003059201E-3</v>
      </c>
      <c r="G540" s="143">
        <v>6620.7</v>
      </c>
      <c r="H540" s="27">
        <f t="shared" si="1029"/>
        <v>-1.0814566435573195E-2</v>
      </c>
      <c r="I540" s="35">
        <f t="shared" si="1030"/>
        <v>29.500450450450451</v>
      </c>
      <c r="J540" s="68">
        <f t="shared" si="1177"/>
        <v>64.087484098248368</v>
      </c>
      <c r="K540" s="1"/>
    </row>
    <row r="541" spans="1:11" ht="14.25" customHeight="1" x14ac:dyDescent="0.15">
      <c r="A541" s="134" t="s">
        <v>323</v>
      </c>
      <c r="B541" s="98" t="s">
        <v>1920</v>
      </c>
      <c r="C541" s="143">
        <v>83</v>
      </c>
      <c r="D541" s="143">
        <v>126</v>
      </c>
      <c r="E541" s="143">
        <v>7745</v>
      </c>
      <c r="F541" s="62">
        <f t="shared" si="1195"/>
        <v>6.6923220367484616E-3</v>
      </c>
      <c r="G541" s="143">
        <v>7393.5</v>
      </c>
      <c r="H541" s="27">
        <f t="shared" si="1029"/>
        <v>4.7541759653749918E-2</v>
      </c>
      <c r="I541" s="35">
        <f t="shared" si="1030"/>
        <v>61.468253968253968</v>
      </c>
      <c r="J541" s="68">
        <f t="shared" si="1177"/>
        <v>93.313253012048193</v>
      </c>
      <c r="K541" s="1"/>
    </row>
    <row r="542" spans="1:11" s="86" customFormat="1" ht="14.25" customHeight="1" x14ac:dyDescent="0.15">
      <c r="A542" s="134" t="s">
        <v>146</v>
      </c>
      <c r="B542" s="98" t="s">
        <v>2482</v>
      </c>
      <c r="C542" s="143">
        <v>284.66000000000003</v>
      </c>
      <c r="D542" s="143">
        <v>478</v>
      </c>
      <c r="E542" s="143">
        <v>16524.97</v>
      </c>
      <c r="F542" s="62">
        <f t="shared" si="1195"/>
        <v>1.4278943949335989E-2</v>
      </c>
      <c r="G542" s="143">
        <v>12051.24</v>
      </c>
      <c r="H542" s="27">
        <f t="shared" si="1029"/>
        <v>0.37122569959605828</v>
      </c>
      <c r="I542" s="35">
        <f t="shared" si="1030"/>
        <v>34.571066945606695</v>
      </c>
      <c r="J542" s="68">
        <f t="shared" si="1177"/>
        <v>58.05160542401461</v>
      </c>
      <c r="K542" s="1"/>
    </row>
    <row r="543" spans="1:11" s="86" customFormat="1" ht="14.25" customHeight="1" x14ac:dyDescent="0.15">
      <c r="A543" s="134" t="s">
        <v>1146</v>
      </c>
      <c r="B543" s="98" t="s">
        <v>1921</v>
      </c>
      <c r="C543" s="143">
        <v>95</v>
      </c>
      <c r="D543" s="143">
        <v>12</v>
      </c>
      <c r="E543" s="143">
        <v>4130</v>
      </c>
      <c r="F543" s="62">
        <f t="shared" ref="F543" si="1216">E543/$E$459</f>
        <v>3.5686623643345571E-3</v>
      </c>
      <c r="G543" s="143">
        <v>3946</v>
      </c>
      <c r="H543" s="27">
        <f t="shared" ref="H543" si="1217">IF(OR(E543=G543,AND(E543="",G543=0),AND(E543=0,G543="")),0%,IF(OR(G543="",G543=0),100%,(E543-G543)/ABS(G543)))</f>
        <v>4.6629498226051697E-2</v>
      </c>
      <c r="I543" s="35">
        <f t="shared" ref="I543" si="1218">IF(OR(D543=0,D543=""),0,E543/D543)</f>
        <v>344.16666666666669</v>
      </c>
      <c r="J543" s="68">
        <f t="shared" ref="J543" si="1219">E543/C543</f>
        <v>43.473684210526315</v>
      </c>
      <c r="K543" s="1"/>
    </row>
    <row r="544" spans="1:11" ht="14.25" customHeight="1" x14ac:dyDescent="0.15">
      <c r="A544" s="134" t="s">
        <v>147</v>
      </c>
      <c r="B544" s="98" t="s">
        <v>2483</v>
      </c>
      <c r="C544" s="143">
        <v>140</v>
      </c>
      <c r="D544" s="143">
        <v>257</v>
      </c>
      <c r="E544" s="143">
        <v>11418</v>
      </c>
      <c r="F544" s="62">
        <f t="shared" si="1195"/>
        <v>9.8660985171844968E-3</v>
      </c>
      <c r="G544" s="143">
        <v>12048.8</v>
      </c>
      <c r="H544" s="27">
        <f t="shared" si="1029"/>
        <v>-5.2353761370426875E-2</v>
      </c>
      <c r="I544" s="35">
        <f t="shared" si="1030"/>
        <v>44.428015564202333</v>
      </c>
      <c r="J544" s="68">
        <f t="shared" si="1177"/>
        <v>81.557142857142864</v>
      </c>
      <c r="K544" s="1"/>
    </row>
    <row r="545" spans="1:11" ht="14.25" customHeight="1" x14ac:dyDescent="0.15">
      <c r="A545" s="134" t="s">
        <v>148</v>
      </c>
      <c r="B545" s="98" t="s">
        <v>2484</v>
      </c>
      <c r="C545" s="143">
        <v>145.38999999999999</v>
      </c>
      <c r="D545" s="143">
        <v>201</v>
      </c>
      <c r="E545" s="143">
        <v>8529.5</v>
      </c>
      <c r="F545" s="62">
        <f t="shared" si="1195"/>
        <v>7.3701950693926405E-3</v>
      </c>
      <c r="G545" s="143">
        <v>9591.1</v>
      </c>
      <c r="H545" s="27">
        <f t="shared" si="1029"/>
        <v>-0.11068594843135827</v>
      </c>
      <c r="I545" s="35">
        <f t="shared" si="1030"/>
        <v>42.43532338308458</v>
      </c>
      <c r="J545" s="68">
        <f t="shared" si="1177"/>
        <v>58.666345690900343</v>
      </c>
      <c r="K545" s="1"/>
    </row>
    <row r="546" spans="1:11" ht="14.25" customHeight="1" x14ac:dyDescent="0.15">
      <c r="A546" s="134" t="s">
        <v>149</v>
      </c>
      <c r="B546" s="98" t="s">
        <v>2485</v>
      </c>
      <c r="C546" s="143">
        <v>291.04000000000002</v>
      </c>
      <c r="D546" s="143">
        <v>216</v>
      </c>
      <c r="E546" s="143">
        <v>15712</v>
      </c>
      <c r="F546" s="62">
        <f t="shared" si="1195"/>
        <v>1.3576470476616117E-2</v>
      </c>
      <c r="G546" s="143">
        <v>15443</v>
      </c>
      <c r="H546" s="27">
        <f t="shared" si="1029"/>
        <v>1.7418895292365472E-2</v>
      </c>
      <c r="I546" s="35">
        <f t="shared" si="1030"/>
        <v>72.740740740740748</v>
      </c>
      <c r="J546" s="68">
        <f t="shared" si="1177"/>
        <v>53.985706432105552</v>
      </c>
      <c r="K546" s="1"/>
    </row>
    <row r="547" spans="1:11" s="86" customFormat="1" ht="14.25" customHeight="1" x14ac:dyDescent="0.15">
      <c r="A547" s="134" t="s">
        <v>150</v>
      </c>
      <c r="B547" s="98" t="s">
        <v>1922</v>
      </c>
      <c r="C547" s="143">
        <v>128.26</v>
      </c>
      <c r="D547" s="143">
        <v>192</v>
      </c>
      <c r="E547" s="143">
        <v>10879.7</v>
      </c>
      <c r="F547" s="62">
        <f t="shared" si="1195"/>
        <v>9.4009626937652992E-3</v>
      </c>
      <c r="G547" s="143">
        <v>9611.2999999999993</v>
      </c>
      <c r="H547" s="27">
        <f t="shared" si="1029"/>
        <v>0.13196966071187055</v>
      </c>
      <c r="I547" s="35">
        <f t="shared" si="1030"/>
        <v>56.665104166666673</v>
      </c>
      <c r="J547" s="68">
        <f t="shared" si="1177"/>
        <v>84.825354748167797</v>
      </c>
      <c r="K547" s="1"/>
    </row>
    <row r="548" spans="1:11" s="86" customFormat="1" ht="14.25" customHeight="1" x14ac:dyDescent="0.15">
      <c r="A548" s="134" t="s">
        <v>151</v>
      </c>
      <c r="B548" s="98" t="s">
        <v>2486</v>
      </c>
      <c r="C548" s="143">
        <v>350</v>
      </c>
      <c r="D548" s="143">
        <v>491</v>
      </c>
      <c r="E548" s="143">
        <v>14023.59</v>
      </c>
      <c r="F548" s="62">
        <f t="shared" si="1195"/>
        <v>1.2117544272604952E-2</v>
      </c>
      <c r="G548" s="143">
        <v>12158.24</v>
      </c>
      <c r="H548" s="27">
        <f t="shared" si="1029"/>
        <v>0.15342269933806213</v>
      </c>
      <c r="I548" s="35">
        <f t="shared" si="1030"/>
        <v>28.561283095723013</v>
      </c>
      <c r="J548" s="68">
        <f t="shared" si="1177"/>
        <v>40.067399999999999</v>
      </c>
      <c r="K548" s="1"/>
    </row>
    <row r="549" spans="1:11" s="86" customFormat="1" ht="14.25" customHeight="1" x14ac:dyDescent="0.15">
      <c r="A549" s="134" t="s">
        <v>613</v>
      </c>
      <c r="B549" s="98" t="s">
        <v>2487</v>
      </c>
      <c r="C549" s="143">
        <v>30</v>
      </c>
      <c r="D549" s="143">
        <v>53</v>
      </c>
      <c r="E549" s="143">
        <v>1414</v>
      </c>
      <c r="F549" s="62">
        <f t="shared" ref="F549" si="1220">E549/$E$459</f>
        <v>1.2218132162636957E-3</v>
      </c>
      <c r="G549" s="143">
        <v>1115</v>
      </c>
      <c r="H549" s="27">
        <f t="shared" ref="H549" si="1221">IF(OR(E549=G549,AND(E549="",G549=0),AND(E549=0,G549="")),0%,IF(OR(G549="",G549=0),100%,(E549-G549)/ABS(G549)))</f>
        <v>0.26816143497757849</v>
      </c>
      <c r="I549" s="35">
        <f t="shared" ref="I549" si="1222">IF(OR(D549=0,D549=""),0,E549/D549)</f>
        <v>26.679245283018869</v>
      </c>
      <c r="J549" s="68">
        <f t="shared" ref="J549" si="1223">E549/C549</f>
        <v>47.133333333333333</v>
      </c>
      <c r="K549" s="1"/>
    </row>
    <row r="550" spans="1:11" s="86" customFormat="1" ht="14.25" customHeight="1" x14ac:dyDescent="0.15">
      <c r="A550" s="134" t="s">
        <v>614</v>
      </c>
      <c r="B550" s="98" t="s">
        <v>2488</v>
      </c>
      <c r="C550" s="143">
        <v>45</v>
      </c>
      <c r="D550" s="143">
        <v>112</v>
      </c>
      <c r="E550" s="143">
        <v>4363.6499999999996</v>
      </c>
      <c r="F550" s="62">
        <f>E550/$E$459</f>
        <v>3.7705553332030239E-3</v>
      </c>
      <c r="G550" s="143">
        <v>2657.5</v>
      </c>
      <c r="H550" s="27">
        <f t="shared" si="1029"/>
        <v>0.64201317027281268</v>
      </c>
      <c r="I550" s="35">
        <f t="shared" si="1030"/>
        <v>38.961160714285711</v>
      </c>
      <c r="J550" s="68">
        <f t="shared" si="1177"/>
        <v>96.97</v>
      </c>
      <c r="K550" s="1"/>
    </row>
    <row r="551" spans="1:11" s="86" customFormat="1" ht="14.25" customHeight="1" x14ac:dyDescent="0.15">
      <c r="A551" s="134" t="s">
        <v>608</v>
      </c>
      <c r="B551" s="98" t="s">
        <v>1923</v>
      </c>
      <c r="C551" s="143">
        <v>15</v>
      </c>
      <c r="D551" s="143">
        <v>66</v>
      </c>
      <c r="E551" s="143">
        <v>1888</v>
      </c>
      <c r="F551" s="62">
        <f t="shared" ref="F551" si="1224">E551/$E$459</f>
        <v>1.6313885094100832E-3</v>
      </c>
      <c r="G551" s="143">
        <v>1489</v>
      </c>
      <c r="H551" s="27">
        <f t="shared" ref="H551" si="1225">IF(OR(E551=G551,AND(E551="",G551=0),AND(E551=0,G551="")),0%,IF(OR(G551="",G551=0),100%,(E551-G551)/ABS(G551)))</f>
        <v>0.2679650772330423</v>
      </c>
      <c r="I551" s="35">
        <f t="shared" ref="I551" si="1226">IF(OR(D551=0,D551=""),0,E551/D551)</f>
        <v>28.606060606060606</v>
      </c>
      <c r="J551" s="68">
        <f t="shared" ref="J551" si="1227">E551/C551</f>
        <v>125.86666666666666</v>
      </c>
      <c r="K551" s="1"/>
    </row>
    <row r="552" spans="1:11" s="86" customFormat="1" ht="14.25" customHeight="1" x14ac:dyDescent="0.15">
      <c r="A552" s="134" t="s">
        <v>722</v>
      </c>
      <c r="B552" s="98" t="s">
        <v>1924</v>
      </c>
      <c r="C552" s="143">
        <v>193.14</v>
      </c>
      <c r="D552" s="143">
        <v>244</v>
      </c>
      <c r="E552" s="143">
        <v>12647.4</v>
      </c>
      <c r="F552" s="62">
        <f t="shared" ref="F552" si="1228">E552/$E$459</f>
        <v>1.0928402030674304E-2</v>
      </c>
      <c r="G552" s="143">
        <v>11909.5</v>
      </c>
      <c r="H552" s="27">
        <f t="shared" ref="H552" si="1229">IF(OR(E552=G552,AND(E552="",G552=0),AND(E552=0,G552="")),0%,IF(OR(G552="",G552=0),100%,(E552-G552)/ABS(G552)))</f>
        <v>6.1958940341743957E-2</v>
      </c>
      <c r="I552" s="35">
        <f t="shared" ref="I552" si="1230">IF(OR(D552=0,D552=""),0,E552/D552)</f>
        <v>51.833606557377045</v>
      </c>
      <c r="J552" s="68">
        <f t="shared" ref="J552" si="1231">E552/C552</f>
        <v>65.483069276172728</v>
      </c>
      <c r="K552" s="1"/>
    </row>
    <row r="553" spans="1:11" s="86" customFormat="1" ht="14.25" customHeight="1" x14ac:dyDescent="0.15">
      <c r="A553" s="134" t="s">
        <v>724</v>
      </c>
      <c r="B553" s="98" t="s">
        <v>1925</v>
      </c>
      <c r="C553" s="143">
        <v>171.69</v>
      </c>
      <c r="D553" s="143">
        <v>105</v>
      </c>
      <c r="E553" s="143">
        <v>13068</v>
      </c>
      <c r="F553" s="62">
        <f t="shared" ref="F553" si="1232">E553/$E$459</f>
        <v>1.1291835297124454E-2</v>
      </c>
      <c r="G553" s="143">
        <v>14983</v>
      </c>
      <c r="H553" s="27">
        <f t="shared" ref="H553" si="1233">IF(OR(E553=G553,AND(E553="",G553=0),AND(E553=0,G553="")),0%,IF(OR(G553="",G553=0),100%,(E553-G553)/ABS(G553)))</f>
        <v>-0.127811519722352</v>
      </c>
      <c r="I553" s="35">
        <f t="shared" ref="I553" si="1234">IF(OR(D553=0,D553=""),0,E553/D553)</f>
        <v>124.45714285714286</v>
      </c>
      <c r="J553" s="68">
        <f t="shared" ref="J553" si="1235">E553/C553</f>
        <v>76.113926262449766</v>
      </c>
      <c r="K553" s="1"/>
    </row>
    <row r="554" spans="1:11" ht="14.25" customHeight="1" x14ac:dyDescent="0.15">
      <c r="A554" s="134" t="s">
        <v>717</v>
      </c>
      <c r="B554" s="98" t="s">
        <v>1926</v>
      </c>
      <c r="C554" s="143">
        <v>51.06</v>
      </c>
      <c r="D554" s="143">
        <v>58</v>
      </c>
      <c r="E554" s="143">
        <v>1804</v>
      </c>
      <c r="F554" s="62">
        <f t="shared" ref="F554" si="1236">E554/$E$459</f>
        <v>1.5588055460676856E-3</v>
      </c>
      <c r="G554" s="143">
        <v>1761</v>
      </c>
      <c r="H554" s="27">
        <f t="shared" ref="H554:H556" si="1237">IF(OR(E554=G554,AND(E554="",G554=0),AND(E554=0,G554="")),0%,IF(OR(G554="",G554=0),100%,(E554-G554)/ABS(G554)))</f>
        <v>2.4417944349801251E-2</v>
      </c>
      <c r="I554" s="35">
        <f t="shared" ref="I554:I556" si="1238">IF(OR(D554=0,D554=""),0,E554/D554)</f>
        <v>31.103448275862068</v>
      </c>
      <c r="J554" s="68">
        <f t="shared" ref="J554:J556" si="1239">E554/C554</f>
        <v>35.330983157070115</v>
      </c>
      <c r="K554" s="1"/>
    </row>
    <row r="555" spans="1:11" s="86" customFormat="1" ht="14.25" customHeight="1" x14ac:dyDescent="0.15">
      <c r="A555" s="134" t="s">
        <v>1106</v>
      </c>
      <c r="B555" s="98" t="s">
        <v>2489</v>
      </c>
      <c r="C555" s="143">
        <v>100</v>
      </c>
      <c r="D555" s="143">
        <v>24</v>
      </c>
      <c r="E555" s="143">
        <v>1978</v>
      </c>
      <c r="F555" s="62">
        <f>E555/$E$459</f>
        <v>1.7091559701340809E-3</v>
      </c>
      <c r="G555" s="143">
        <v>1618</v>
      </c>
      <c r="H555" s="27">
        <f t="shared" si="1237"/>
        <v>0.22249690976514216</v>
      </c>
      <c r="I555" s="35">
        <f t="shared" si="1238"/>
        <v>82.416666666666671</v>
      </c>
      <c r="J555" s="68">
        <f t="shared" si="1239"/>
        <v>19.78</v>
      </c>
      <c r="K555" s="1"/>
    </row>
    <row r="556" spans="1:11" s="86" customFormat="1" ht="14.25" customHeight="1" x14ac:dyDescent="0.15">
      <c r="A556" s="134" t="s">
        <v>1600</v>
      </c>
      <c r="B556" s="98" t="s">
        <v>2490</v>
      </c>
      <c r="C556" s="143">
        <v>10</v>
      </c>
      <c r="D556" s="143">
        <v>22</v>
      </c>
      <c r="E556" s="143">
        <v>1259</v>
      </c>
      <c r="F556" s="62">
        <f t="shared" ref="F556" si="1240">E556/$E$459</f>
        <v>1.0878803672390333E-3</v>
      </c>
      <c r="G556" s="143">
        <v>1204</v>
      </c>
      <c r="H556" s="27">
        <f t="shared" si="1237"/>
        <v>4.5681063122923589E-2</v>
      </c>
      <c r="I556" s="35">
        <f t="shared" si="1238"/>
        <v>57.227272727272727</v>
      </c>
      <c r="J556" s="68">
        <f t="shared" si="1239"/>
        <v>125.9</v>
      </c>
      <c r="K556" s="1"/>
    </row>
    <row r="557" spans="1:11" x14ac:dyDescent="0.15">
      <c r="A557" s="134" t="s">
        <v>550</v>
      </c>
      <c r="B557" s="98" t="s">
        <v>2491</v>
      </c>
      <c r="C557" s="143">
        <v>15</v>
      </c>
      <c r="D557" s="143">
        <v>146</v>
      </c>
      <c r="E557" s="143">
        <v>3408</v>
      </c>
      <c r="F557" s="62">
        <f t="shared" ref="F557" si="1241">E557/$E$459</f>
        <v>2.9447945127487095E-3</v>
      </c>
      <c r="G557" s="143">
        <v>2278</v>
      </c>
      <c r="H557" s="27">
        <f t="shared" ref="H557:H558" si="1242">IF(OR(E557=G557,AND(E557="",G557=0),AND(E557=0,G557="")),0%,IF(OR(G557="",G557=0),100%,(E557-G557)/ABS(G557)))</f>
        <v>0.49604916593503073</v>
      </c>
      <c r="I557" s="35">
        <f t="shared" ref="I557:I558" si="1243">IF(OR(D557=0,D557=""),0,E557/D557)</f>
        <v>23.342465753424658</v>
      </c>
      <c r="J557" s="68">
        <f t="shared" ref="J557:J558" si="1244">E557/C557</f>
        <v>227.2</v>
      </c>
      <c r="K557" s="1"/>
    </row>
    <row r="558" spans="1:11" s="86" customFormat="1" x14ac:dyDescent="0.15">
      <c r="A558" s="134" t="s">
        <v>871</v>
      </c>
      <c r="B558" s="98" t="s">
        <v>2492</v>
      </c>
      <c r="C558" s="143">
        <v>33</v>
      </c>
      <c r="D558" s="143">
        <v>57</v>
      </c>
      <c r="E558" s="143">
        <v>2382.6</v>
      </c>
      <c r="F558" s="62">
        <f t="shared" ref="F558:F563" si="1245">E558/$E$459</f>
        <v>2.0587639102332966E-3</v>
      </c>
      <c r="G558" s="143">
        <v>1326</v>
      </c>
      <c r="H558" s="27">
        <f t="shared" si="1242"/>
        <v>0.79683257918552031</v>
      </c>
      <c r="I558" s="35">
        <f t="shared" si="1243"/>
        <v>41.8</v>
      </c>
      <c r="J558" s="68">
        <f t="shared" si="1244"/>
        <v>72.2</v>
      </c>
      <c r="K558" s="1"/>
    </row>
    <row r="559" spans="1:11" s="86" customFormat="1" x14ac:dyDescent="0.15">
      <c r="A559" s="134" t="s">
        <v>937</v>
      </c>
      <c r="B559" s="98" t="s">
        <v>2493</v>
      </c>
      <c r="C559" s="143">
        <v>20</v>
      </c>
      <c r="D559" s="143">
        <v>35</v>
      </c>
      <c r="E559" s="143">
        <v>852</v>
      </c>
      <c r="F559" s="62">
        <f t="shared" si="1245"/>
        <v>7.3619862818717738E-4</v>
      </c>
      <c r="G559" s="143">
        <v>826</v>
      </c>
      <c r="H559" s="27">
        <f t="shared" ref="H559" si="1246">IF(OR(E559=G559,AND(E559="",G559=0),AND(E559=0,G559="")),0%,IF(OR(G559="",G559=0),100%,(E559-G559)/ABS(G559)))</f>
        <v>3.1476997578692496E-2</v>
      </c>
      <c r="I559" s="35">
        <f t="shared" ref="I559" si="1247">IF(OR(D559=0,D559=""),0,E559/D559)</f>
        <v>24.342857142857142</v>
      </c>
      <c r="J559" s="68">
        <f t="shared" ref="J559" si="1248">E559/C559</f>
        <v>42.6</v>
      </c>
      <c r="K559" s="1"/>
    </row>
    <row r="560" spans="1:11" s="86" customFormat="1" x14ac:dyDescent="0.15">
      <c r="A560" s="134" t="s">
        <v>927</v>
      </c>
      <c r="B560" s="98" t="s">
        <v>1927</v>
      </c>
      <c r="C560" s="143">
        <v>23.23</v>
      </c>
      <c r="D560" s="143">
        <v>41</v>
      </c>
      <c r="E560" s="143">
        <v>1660</v>
      </c>
      <c r="F560" s="62">
        <f t="shared" si="1245"/>
        <v>1.4343776089092892E-3</v>
      </c>
      <c r="G560" s="143">
        <v>1724</v>
      </c>
      <c r="H560" s="27">
        <f t="shared" ref="H560" si="1249">IF(OR(E560=G560,AND(E560="",G560=0),AND(E560=0,G560="")),0%,IF(OR(G560="",G560=0),100%,(E560-G560)/ABS(G560)))</f>
        <v>-3.7122969837587005E-2</v>
      </c>
      <c r="I560" s="35">
        <f t="shared" ref="I560" si="1250">IF(OR(D560=0,D560=""),0,E560/D560)</f>
        <v>40.487804878048777</v>
      </c>
      <c r="J560" s="68">
        <f t="shared" ref="J560" si="1251">E560/C560</f>
        <v>71.459319845027977</v>
      </c>
      <c r="K560" s="1"/>
    </row>
    <row r="561" spans="1:11" s="86" customFormat="1" x14ac:dyDescent="0.15">
      <c r="A561" s="134" t="s">
        <v>503</v>
      </c>
      <c r="B561" s="98" t="s">
        <v>2494</v>
      </c>
      <c r="C561" s="143">
        <v>67.22</v>
      </c>
      <c r="D561" s="143">
        <v>83</v>
      </c>
      <c r="E561" s="143">
        <v>2492</v>
      </c>
      <c r="F561" s="62">
        <f t="shared" si="1245"/>
        <v>2.1532945791578008E-3</v>
      </c>
      <c r="G561" s="143">
        <v>1629</v>
      </c>
      <c r="H561" s="27">
        <f t="shared" si="1029"/>
        <v>0.52977286678944135</v>
      </c>
      <c r="I561" s="35">
        <f t="shared" si="1030"/>
        <v>30.024096385542169</v>
      </c>
      <c r="J561" s="68">
        <f t="shared" si="1177"/>
        <v>37.072299910740853</v>
      </c>
      <c r="K561" s="1"/>
    </row>
    <row r="562" spans="1:11" x14ac:dyDescent="0.15">
      <c r="A562" s="134" t="s">
        <v>704</v>
      </c>
      <c r="B562" s="98" t="s">
        <v>2495</v>
      </c>
      <c r="C562" s="143">
        <v>34</v>
      </c>
      <c r="D562" s="143">
        <v>92</v>
      </c>
      <c r="E562" s="143">
        <v>2171.25</v>
      </c>
      <c r="F562" s="62">
        <f t="shared" si="1245"/>
        <v>1.8761399899664423E-3</v>
      </c>
      <c r="G562" s="143">
        <v>2230.4</v>
      </c>
      <c r="H562" s="27">
        <f t="shared" ref="H562" si="1252">IF(OR(E562=G562,AND(E562="",G562=0),AND(E562=0,G562="")),0%,IF(OR(G562="",G562=0),100%,(E562-G562)/ABS(G562)))</f>
        <v>-2.6519906743185117E-2</v>
      </c>
      <c r="I562" s="35">
        <f t="shared" ref="I562" si="1253">IF(OR(D562=0,D562=""),0,E562/D562)</f>
        <v>23.600543478260871</v>
      </c>
      <c r="J562" s="68">
        <f t="shared" ref="J562" si="1254">E562/C562</f>
        <v>63.860294117647058</v>
      </c>
      <c r="K562" s="1"/>
    </row>
    <row r="563" spans="1:11" s="86" customFormat="1" x14ac:dyDescent="0.15">
      <c r="A563" s="134" t="s">
        <v>152</v>
      </c>
      <c r="B563" s="98" t="s">
        <v>2315</v>
      </c>
      <c r="C563" s="143">
        <v>236</v>
      </c>
      <c r="D563" s="143">
        <v>603</v>
      </c>
      <c r="E563" s="143">
        <v>22389.82</v>
      </c>
      <c r="F563" s="62">
        <f t="shared" si="1245"/>
        <v>1.934666052741529E-2</v>
      </c>
      <c r="G563" s="143">
        <v>18616.7</v>
      </c>
      <c r="H563" s="27">
        <f t="shared" si="1029"/>
        <v>0.2026739432874784</v>
      </c>
      <c r="I563" s="35">
        <f t="shared" si="1030"/>
        <v>37.130713101160865</v>
      </c>
      <c r="J563" s="68">
        <f t="shared" si="1177"/>
        <v>94.872118644067797</v>
      </c>
      <c r="K563" s="1"/>
    </row>
    <row r="564" spans="1:11" s="86" customFormat="1" x14ac:dyDescent="0.15">
      <c r="A564" s="197" t="s">
        <v>1093</v>
      </c>
      <c r="B564" s="177" t="s">
        <v>1928</v>
      </c>
      <c r="C564" s="178">
        <v>258.42</v>
      </c>
      <c r="D564" s="178">
        <v>446</v>
      </c>
      <c r="E564" s="178">
        <v>30729.5</v>
      </c>
      <c r="F564" s="196">
        <f t="shared" ref="F564" si="1255">E564/$E$459</f>
        <v>2.6552835381312052E-2</v>
      </c>
      <c r="G564" s="178">
        <v>33226</v>
      </c>
      <c r="H564" s="179">
        <f t="shared" ref="H564" si="1256">IF(OR(E564=G564,AND(E564="",G564=0),AND(E564=0,G564="")),0%,IF(OR(G564="",G564=0),100%,(E564-G564)/ABS(G564)))</f>
        <v>-7.5136940949858538E-2</v>
      </c>
      <c r="I564" s="180">
        <f t="shared" ref="I564" si="1257">IF(OR(D564=0,D564=""),0,E564/D564)</f>
        <v>68.900224215246638</v>
      </c>
      <c r="J564" s="198">
        <f t="shared" ref="J564" si="1258">E564/C564</f>
        <v>118.9130098289606</v>
      </c>
      <c r="K564" s="1"/>
    </row>
    <row r="565" spans="1:11" s="86" customFormat="1" x14ac:dyDescent="0.15">
      <c r="A565" s="197" t="s">
        <v>1708</v>
      </c>
      <c r="B565" s="177" t="s">
        <v>2316</v>
      </c>
      <c r="C565" s="178">
        <v>26</v>
      </c>
      <c r="D565" s="178">
        <v>130</v>
      </c>
      <c r="E565" s="178">
        <v>2802</v>
      </c>
      <c r="F565" s="196">
        <f t="shared" ref="F565" si="1259">E565/$E$459</f>
        <v>2.4211602772071256E-3</v>
      </c>
      <c r="G565" s="178">
        <v>2343</v>
      </c>
      <c r="H565" s="179">
        <f t="shared" ref="H565" si="1260">IF(OR(E565=G565,AND(E565="",G565=0),AND(E565=0,G565="")),0%,IF(OR(G565="",G565=0),100%,(E565-G565)/ABS(G565)))</f>
        <v>0.19590268886043533</v>
      </c>
      <c r="I565" s="180">
        <f t="shared" ref="I565" si="1261">IF(OR(D565=0,D565=""),0,E565/D565)</f>
        <v>21.553846153846155</v>
      </c>
      <c r="J565" s="198">
        <f t="shared" ref="J565" si="1262">E565/C565</f>
        <v>107.76923076923077</v>
      </c>
      <c r="K565" s="1"/>
    </row>
    <row r="566" spans="1:11" s="86" customFormat="1" x14ac:dyDescent="0.15">
      <c r="A566" s="197" t="s">
        <v>1751</v>
      </c>
      <c r="B566" s="177" t="s">
        <v>1929</v>
      </c>
      <c r="C566" s="178">
        <v>30</v>
      </c>
      <c r="D566" s="178">
        <v>56</v>
      </c>
      <c r="E566" s="178">
        <v>1713</v>
      </c>
      <c r="F566" s="196">
        <f t="shared" ref="F566" si="1263">E566/$E$459</f>
        <v>1.4801740024467545E-3</v>
      </c>
      <c r="G566" s="178">
        <v>1653</v>
      </c>
      <c r="H566" s="179">
        <f t="shared" ref="H566" si="1264">IF(OR(E566=G566,AND(E566="",G566=0),AND(E566=0,G566="")),0%,IF(OR(G566="",G566=0),100%,(E566-G566)/ABS(G566)))</f>
        <v>3.6297640653357534E-2</v>
      </c>
      <c r="I566" s="180">
        <f t="shared" ref="I566" si="1265">IF(OR(D566=0,D566=""),0,E566/D566)</f>
        <v>30.589285714285715</v>
      </c>
      <c r="J566" s="198">
        <f t="shared" ref="J566" si="1266">E566/C566</f>
        <v>57.1</v>
      </c>
      <c r="K566" s="1"/>
    </row>
    <row r="567" spans="1:11" x14ac:dyDescent="0.15">
      <c r="A567" s="197" t="s">
        <v>305</v>
      </c>
      <c r="B567" s="177" t="s">
        <v>1930</v>
      </c>
      <c r="C567" s="178">
        <v>84.16</v>
      </c>
      <c r="D567" s="178">
        <v>3</v>
      </c>
      <c r="E567" s="178">
        <v>379</v>
      </c>
      <c r="F567" s="196">
        <f t="shared" ref="F567" si="1267">E567/$E$459</f>
        <v>3.2748741793772328E-4</v>
      </c>
      <c r="G567" s="178">
        <v>2501</v>
      </c>
      <c r="H567" s="179">
        <f t="shared" ref="H567" si="1268">IF(OR(E567=G567,AND(E567="",G567=0),AND(E567=0,G567="")),0%,IF(OR(G567="",G567=0),100%,(E567-G567)/ABS(G567)))</f>
        <v>-0.84846061575369847</v>
      </c>
      <c r="I567" s="180">
        <f t="shared" ref="I567" si="1269">IF(OR(D567=0,D567=""),0,E567/D567)</f>
        <v>126.33333333333333</v>
      </c>
      <c r="J567" s="198">
        <f t="shared" ref="J567" si="1270">E567/C567</f>
        <v>4.5033269961977185</v>
      </c>
      <c r="K567" s="1"/>
    </row>
    <row r="568" spans="1:11" x14ac:dyDescent="0.15">
      <c r="A568" s="197" t="s">
        <v>374</v>
      </c>
      <c r="B568" s="177" t="s">
        <v>2496</v>
      </c>
      <c r="C568" s="178">
        <v>70</v>
      </c>
      <c r="D568" s="178">
        <v>56</v>
      </c>
      <c r="E568" s="178">
        <v>3567</v>
      </c>
      <c r="F568" s="196">
        <f t="shared" ref="F568" si="1271">E568/$E$459</f>
        <v>3.0821836933611056E-3</v>
      </c>
      <c r="G568" s="178">
        <v>3321</v>
      </c>
      <c r="H568" s="179">
        <f t="shared" ref="H568" si="1272">IF(OR(E568=G568,AND(E568="",G568=0),AND(E568=0,G568="")),0%,IF(OR(G568="",G568=0),100%,(E568-G568)/ABS(G568)))</f>
        <v>7.407407407407407E-2</v>
      </c>
      <c r="I568" s="180">
        <f t="shared" ref="I568" si="1273">IF(OR(D568=0,D568=""),0,E568/D568)</f>
        <v>63.696428571428569</v>
      </c>
      <c r="J568" s="198">
        <f t="shared" ref="J568" si="1274">E568/C568</f>
        <v>50.957142857142856</v>
      </c>
      <c r="K568" s="1"/>
    </row>
    <row r="569" spans="1:11" s="86" customFormat="1" x14ac:dyDescent="0.15">
      <c r="A569" s="197" t="s">
        <v>369</v>
      </c>
      <c r="B569" s="177" t="s">
        <v>2389</v>
      </c>
      <c r="C569" s="178">
        <v>44</v>
      </c>
      <c r="D569" s="178">
        <v>238</v>
      </c>
      <c r="E569" s="178">
        <v>7127.2</v>
      </c>
      <c r="F569" s="196">
        <f t="shared" ref="F569" si="1275">E569/$E$459</f>
        <v>6.158491623023064E-3</v>
      </c>
      <c r="G569" s="178">
        <v>379</v>
      </c>
      <c r="H569" s="179">
        <f t="shared" ref="H569" si="1276">IF(OR(E569=G569,AND(E569="",G569=0),AND(E569=0,G569="")),0%,IF(OR(G569="",G569=0),100%,(E569-G569)/ABS(G569)))</f>
        <v>17.805277044854879</v>
      </c>
      <c r="I569" s="180">
        <f t="shared" ref="I569" si="1277">IF(OR(D569=0,D569=""),0,E569/D569)</f>
        <v>29.946218487394958</v>
      </c>
      <c r="J569" s="198">
        <f t="shared" ref="J569" si="1278">E569/C569</f>
        <v>161.98181818181817</v>
      </c>
      <c r="K569" s="1"/>
    </row>
    <row r="570" spans="1:11" s="86" customFormat="1" x14ac:dyDescent="0.15">
      <c r="A570" s="197" t="s">
        <v>547</v>
      </c>
      <c r="B570" s="177" t="s">
        <v>1931</v>
      </c>
      <c r="C570" s="178">
        <v>26</v>
      </c>
      <c r="D570" s="178">
        <v>54</v>
      </c>
      <c r="E570" s="178">
        <v>1613</v>
      </c>
      <c r="F570" s="196">
        <f t="shared" ref="F570" si="1279">E570/$E$459</f>
        <v>1.3937657127534239E-3</v>
      </c>
      <c r="G570" s="178">
        <v>1247</v>
      </c>
      <c r="H570" s="179">
        <f t="shared" ref="H570" si="1280">IF(OR(E570=G570,AND(E570="",G570=0),AND(E570=0,G570="")),0%,IF(OR(G570="",G570=0),100%,(E570-G570)/ABS(G570)))</f>
        <v>0.293504410585405</v>
      </c>
      <c r="I570" s="180">
        <f t="shared" ref="I570" si="1281">IF(OR(D570=0,D570=""),0,E570/D570)</f>
        <v>29.87037037037037</v>
      </c>
      <c r="J570" s="198">
        <f t="shared" ref="J570" si="1282">E570/C570</f>
        <v>62.03846153846154</v>
      </c>
      <c r="K570" s="1"/>
    </row>
    <row r="571" spans="1:11" s="86" customFormat="1" x14ac:dyDescent="0.15">
      <c r="A571" s="197" t="s">
        <v>516</v>
      </c>
      <c r="B571" s="177" t="s">
        <v>1932</v>
      </c>
      <c r="C571" s="178">
        <v>6</v>
      </c>
      <c r="D571" s="178">
        <v>46</v>
      </c>
      <c r="E571" s="178">
        <v>950.5</v>
      </c>
      <c r="F571" s="196">
        <f t="shared" ref="F571" si="1283">E571/$E$459</f>
        <v>8.2131079353510807E-4</v>
      </c>
      <c r="G571" s="178">
        <v>531</v>
      </c>
      <c r="H571" s="179">
        <f t="shared" ref="H571" si="1284">IF(OR(E571=G571,AND(E571="",G571=0),AND(E571=0,G571="")),0%,IF(OR(G571="",G571=0),100%,(E571-G571)/ABS(G571)))</f>
        <v>0.79001883239171378</v>
      </c>
      <c r="I571" s="180">
        <f t="shared" ref="I571" si="1285">IF(OR(D571=0,D571=""),0,E571/D571)</f>
        <v>20.663043478260871</v>
      </c>
      <c r="J571" s="198">
        <f t="shared" ref="J571" si="1286">E571/C571</f>
        <v>158.41666666666666</v>
      </c>
      <c r="K571" s="1"/>
    </row>
    <row r="572" spans="1:11" x14ac:dyDescent="0.15">
      <c r="A572" s="197" t="s">
        <v>673</v>
      </c>
      <c r="B572" s="177" t="s">
        <v>1933</v>
      </c>
      <c r="C572" s="178">
        <v>8.3000000000000007</v>
      </c>
      <c r="D572" s="178">
        <v>14</v>
      </c>
      <c r="E572" s="178">
        <v>1047.4000000000001</v>
      </c>
      <c r="F572" s="196">
        <f t="shared" ref="F572:F576" si="1287">E572/$E$459</f>
        <v>9.0504042624794565E-4</v>
      </c>
      <c r="G572" s="178">
        <v>1618.6</v>
      </c>
      <c r="H572" s="179">
        <f t="shared" ref="H572:H576" si="1288">IF(OR(E572=G572,AND(E572="",G572=0),AND(E572=0,G572="")),0%,IF(OR(G572="",G572=0),100%,(E572-G572)/ABS(G572)))</f>
        <v>-0.35289756579760279</v>
      </c>
      <c r="I572" s="180">
        <f t="shared" ref="I572:I576" si="1289">IF(OR(D572=0,D572=""),0,E572/D572)</f>
        <v>74.814285714285717</v>
      </c>
      <c r="J572" s="198">
        <f t="shared" ref="J572:J576" si="1290">E572/C572</f>
        <v>126.19277108433735</v>
      </c>
      <c r="K572" s="1"/>
    </row>
    <row r="573" spans="1:11" s="86" customFormat="1" x14ac:dyDescent="0.15">
      <c r="A573" s="197" t="s">
        <v>846</v>
      </c>
      <c r="B573" s="177" t="s">
        <v>1934</v>
      </c>
      <c r="C573" s="178">
        <v>42</v>
      </c>
      <c r="D573" s="178">
        <v>48</v>
      </c>
      <c r="E573" s="178">
        <v>1808.5</v>
      </c>
      <c r="F573" s="196">
        <f t="shared" si="1287"/>
        <v>1.5626939191038854E-3</v>
      </c>
      <c r="G573" s="178">
        <v>1129</v>
      </c>
      <c r="H573" s="179">
        <f t="shared" si="1288"/>
        <v>0.60186005314437552</v>
      </c>
      <c r="I573" s="180">
        <f t="shared" si="1289"/>
        <v>37.677083333333336</v>
      </c>
      <c r="J573" s="198">
        <f t="shared" si="1290"/>
        <v>43.05952380952381</v>
      </c>
      <c r="K573" s="1"/>
    </row>
    <row r="574" spans="1:11" s="86" customFormat="1" x14ac:dyDescent="0.15">
      <c r="A574" s="197" t="s">
        <v>1169</v>
      </c>
      <c r="B574" s="177" t="s">
        <v>1935</v>
      </c>
      <c r="C574" s="178">
        <v>40</v>
      </c>
      <c r="D574" s="178">
        <v>13</v>
      </c>
      <c r="E574" s="178">
        <v>810</v>
      </c>
      <c r="F574" s="196">
        <f t="shared" ref="F574" si="1291">E574/$E$459</f>
        <v>6.9990714651597854E-4</v>
      </c>
      <c r="G574" s="178">
        <v>117</v>
      </c>
      <c r="H574" s="179">
        <f t="shared" ref="H574" si="1292">IF(OR(E574=G574,AND(E574="",G574=0),AND(E574=0,G574="")),0%,IF(OR(G574="",G574=0),100%,(E574-G574)/ABS(G574)))</f>
        <v>5.9230769230769234</v>
      </c>
      <c r="I574" s="180">
        <f t="shared" ref="I574" si="1293">IF(OR(D574=0,D574=""),0,E574/D574)</f>
        <v>62.307692307692307</v>
      </c>
      <c r="J574" s="198">
        <f t="shared" ref="J574" si="1294">E574/C574</f>
        <v>20.25</v>
      </c>
      <c r="K574" s="1"/>
    </row>
    <row r="575" spans="1:11" s="86" customFormat="1" x14ac:dyDescent="0.15">
      <c r="A575" s="197" t="s">
        <v>1601</v>
      </c>
      <c r="B575" s="177" t="s">
        <v>1936</v>
      </c>
      <c r="C575" s="178">
        <v>30.23</v>
      </c>
      <c r="D575" s="178">
        <v>1</v>
      </c>
      <c r="E575" s="178">
        <v>228</v>
      </c>
      <c r="F575" s="196">
        <f t="shared" ref="F575" si="1295">E575/$E$459</f>
        <v>1.9701090050079395E-4</v>
      </c>
      <c r="G575" s="178"/>
      <c r="H575" s="179">
        <f t="shared" ref="H575" si="1296">IF(OR(E575=G575,AND(E575="",G575=0),AND(E575=0,G575="")),0%,IF(OR(G575="",G575=0),100%,(E575-G575)/ABS(G575)))</f>
        <v>1</v>
      </c>
      <c r="I575" s="180">
        <f t="shared" ref="I575" si="1297">IF(OR(D575=0,D575=""),0,E575/D575)</f>
        <v>228</v>
      </c>
      <c r="J575" s="198">
        <f t="shared" ref="J575" si="1298">E575/C575</f>
        <v>7.5421766457161761</v>
      </c>
      <c r="K575" s="1"/>
    </row>
    <row r="576" spans="1:11" s="86" customFormat="1" x14ac:dyDescent="0.15">
      <c r="A576" s="197" t="s">
        <v>1166</v>
      </c>
      <c r="B576" s="177" t="s">
        <v>2497</v>
      </c>
      <c r="C576" s="178">
        <v>6</v>
      </c>
      <c r="D576" s="178"/>
      <c r="E576" s="178"/>
      <c r="F576" s="196">
        <f t="shared" si="1287"/>
        <v>0</v>
      </c>
      <c r="G576" s="178"/>
      <c r="H576" s="179">
        <f t="shared" si="1288"/>
        <v>0</v>
      </c>
      <c r="I576" s="180">
        <f t="shared" si="1289"/>
        <v>0</v>
      </c>
      <c r="J576" s="198">
        <f t="shared" si="1290"/>
        <v>0</v>
      </c>
      <c r="K576" s="1"/>
    </row>
    <row r="577" spans="1:11" s="86" customFormat="1" x14ac:dyDescent="0.15">
      <c r="A577" s="197" t="s">
        <v>1649</v>
      </c>
      <c r="B577" s="177" t="s">
        <v>1937</v>
      </c>
      <c r="C577" s="178">
        <v>3</v>
      </c>
      <c r="D577" s="178">
        <v>24</v>
      </c>
      <c r="E577" s="178">
        <v>1020</v>
      </c>
      <c r="F577" s="196">
        <f t="shared" ref="F577" si="1299">E577/$E$459</f>
        <v>8.8136455487197295E-4</v>
      </c>
      <c r="G577" s="178">
        <v>255</v>
      </c>
      <c r="H577" s="179">
        <f t="shared" ref="H577" si="1300">IF(OR(E577=G577,AND(E577="",G577=0),AND(E577=0,G577="")),0%,IF(OR(G577="",G577=0),100%,(E577-G577)/ABS(G577)))</f>
        <v>3</v>
      </c>
      <c r="I577" s="180">
        <f t="shared" ref="I577" si="1301">IF(OR(D577=0,D577=""),0,E577/D577)</f>
        <v>42.5</v>
      </c>
      <c r="J577" s="198">
        <f t="shared" ref="J577" si="1302">E577/C577</f>
        <v>340</v>
      </c>
      <c r="K577" s="1"/>
    </row>
    <row r="578" spans="1:11" s="86" customFormat="1" x14ac:dyDescent="0.15">
      <c r="A578" s="197" t="s">
        <v>1687</v>
      </c>
      <c r="B578" s="177" t="s">
        <v>2498</v>
      </c>
      <c r="C578" s="178">
        <v>6</v>
      </c>
      <c r="D578" s="178">
        <v>32</v>
      </c>
      <c r="E578" s="178">
        <v>750</v>
      </c>
      <c r="F578" s="196">
        <f t="shared" ref="F578" si="1303">E578/$E$459</f>
        <v>6.4806217269998011E-4</v>
      </c>
      <c r="G578" s="178">
        <v>595</v>
      </c>
      <c r="H578" s="179">
        <f t="shared" ref="H578" si="1304">IF(OR(E578=G578,AND(E578="",G578=0),AND(E578=0,G578="")),0%,IF(OR(G578="",G578=0),100%,(E578-G578)/ABS(G578)))</f>
        <v>0.26050420168067229</v>
      </c>
      <c r="I578" s="180">
        <f t="shared" ref="I578" si="1305">IF(OR(D578=0,D578=""),0,E578/D578)</f>
        <v>23.4375</v>
      </c>
      <c r="J578" s="198">
        <f t="shared" ref="J578" si="1306">E578/C578</f>
        <v>125</v>
      </c>
      <c r="K578" s="1"/>
    </row>
    <row r="579" spans="1:11" s="86" customFormat="1" x14ac:dyDescent="0.15">
      <c r="A579" s="197" t="s">
        <v>1731</v>
      </c>
      <c r="B579" s="177" t="s">
        <v>1938</v>
      </c>
      <c r="C579" s="178">
        <v>6</v>
      </c>
      <c r="D579" s="178">
        <v>6</v>
      </c>
      <c r="E579" s="178">
        <v>938</v>
      </c>
      <c r="F579" s="196">
        <f t="shared" ref="F579" si="1307">E579/$E$459</f>
        <v>8.1050975732344175E-4</v>
      </c>
      <c r="G579" s="178">
        <v>213</v>
      </c>
      <c r="H579" s="179">
        <f t="shared" ref="H579" si="1308">IF(OR(E579=G579,AND(E579="",G579=0),AND(E579=0,G579="")),0%,IF(OR(G579="",G579=0),100%,(E579-G579)/ABS(G579)))</f>
        <v>3.403755868544601</v>
      </c>
      <c r="I579" s="180">
        <f t="shared" ref="I579" si="1309">IF(OR(D579=0,D579=""),0,E579/D579)</f>
        <v>156.33333333333334</v>
      </c>
      <c r="J579" s="198">
        <f t="shared" ref="J579" si="1310">E579/C579</f>
        <v>156.33333333333334</v>
      </c>
      <c r="K579" s="1"/>
    </row>
    <row r="580" spans="1:11" s="86" customFormat="1" x14ac:dyDescent="0.15">
      <c r="A580" s="197" t="s">
        <v>1631</v>
      </c>
      <c r="B580" s="177" t="s">
        <v>2499</v>
      </c>
      <c r="C580" s="178">
        <v>602.41</v>
      </c>
      <c r="D580" s="178">
        <v>165</v>
      </c>
      <c r="E580" s="178">
        <v>29115</v>
      </c>
      <c r="F580" s="196">
        <f t="shared" ref="F580" si="1311">E580/$E$459</f>
        <v>2.5157773544213228E-2</v>
      </c>
      <c r="G580" s="178">
        <v>31533</v>
      </c>
      <c r="H580" s="179">
        <f t="shared" ref="H580" si="1312">IF(OR(E580=G580,AND(E580="",G580=0),AND(E580=0,G580="")),0%,IF(OR(G580="",G580=0),100%,(E580-G580)/ABS(G580)))</f>
        <v>-7.6681571686804298E-2</v>
      </c>
      <c r="I580" s="180">
        <f t="shared" ref="I580" si="1313">IF(OR(D580=0,D580=""),0,E580/D580)</f>
        <v>176.45454545454547</v>
      </c>
      <c r="J580" s="198">
        <f t="shared" ref="J580" si="1314">E580/C580</f>
        <v>48.330871001477405</v>
      </c>
      <c r="K580" s="1"/>
    </row>
    <row r="581" spans="1:11" s="86" customFormat="1" x14ac:dyDescent="0.15">
      <c r="A581" s="136" t="s">
        <v>1143</v>
      </c>
      <c r="B581" s="97" t="s">
        <v>2500</v>
      </c>
      <c r="C581" s="164">
        <v>200</v>
      </c>
      <c r="D581" s="164">
        <v>27</v>
      </c>
      <c r="E581" s="164">
        <v>5849</v>
      </c>
      <c r="F581" s="114">
        <f t="shared" ref="F581" si="1315">E581/$E$459</f>
        <v>5.0540208641629116E-3</v>
      </c>
      <c r="G581" s="164">
        <v>6558</v>
      </c>
      <c r="H581" s="29">
        <f t="shared" ref="H581" si="1316">IF(OR(E581=G581,AND(E581="",G581=0),AND(E581=0,G581="")),0%,IF(OR(G581="",G581=0),100%,(E581-G581)/ABS(G581)))</f>
        <v>-0.10811222933821286</v>
      </c>
      <c r="I581" s="36">
        <f t="shared" ref="I581" si="1317">IF(OR(D581=0,D581=""),0,E581/D581)</f>
        <v>216.62962962962962</v>
      </c>
      <c r="J581" s="69">
        <f t="shared" ref="J581" si="1318">E581/C581</f>
        <v>29.245000000000001</v>
      </c>
      <c r="K581" s="1"/>
    </row>
    <row r="584" spans="1:11" x14ac:dyDescent="0.15">
      <c r="C584" s="3"/>
    </row>
    <row r="585" spans="1:11" x14ac:dyDescent="0.15">
      <c r="E585" s="1"/>
    </row>
  </sheetData>
  <mergeCells count="12">
    <mergeCell ref="A457:J457"/>
    <mergeCell ref="A185:J185"/>
    <mergeCell ref="A250:J250"/>
    <mergeCell ref="A320:J320"/>
    <mergeCell ref="A404:J404"/>
    <mergeCell ref="A445:J445"/>
    <mergeCell ref="A451:J451"/>
    <mergeCell ref="A3:J3"/>
    <mergeCell ref="A11:J11"/>
    <mergeCell ref="A30:J30"/>
    <mergeCell ref="A53:J53"/>
    <mergeCell ref="A140:J140"/>
  </mergeCells>
  <phoneticPr fontId="58" type="noConversion"/>
  <conditionalFormatting sqref="E13:E17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{37E0DAC1-1AAE-435A-8795-732078424C6F}</x14:id>
        </ext>
      </extLst>
    </cfRule>
  </conditionalFormatting>
  <conditionalFormatting sqref="G13:G17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{12360B62-3C57-479B-85E2-D9F92CA5B527}</x14:id>
        </ext>
      </extLst>
    </cfRule>
  </conditionalFormatting>
  <conditionalFormatting sqref="H13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E5:E9">
    <cfRule type="dataBar" priority="38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{D499C14B-47EF-4DC9-BD08-D25704E9F044}</x14:id>
        </ext>
      </extLst>
    </cfRule>
  </conditionalFormatting>
  <conditionalFormatting sqref="G5:G9">
    <cfRule type="dataBar" priority="3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{D45C9814-71E5-4261-B84E-F1991806D67F}</x14:id>
        </ext>
      </extLst>
    </cfRule>
  </conditionalFormatting>
  <conditionalFormatting sqref="H284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E284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{DF6F0240-79EB-4B1F-B03B-CE4EAB393DB5}</x14:id>
        </ext>
      </extLst>
    </cfRule>
  </conditionalFormatting>
  <conditionalFormatting sqref="G284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{893EE653-BDAA-42F3-AC85-EBB96A9188FB}</x14:id>
        </ext>
      </extLst>
    </cfRule>
  </conditionalFormatting>
  <conditionalFormatting sqref="E461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{C798293E-F520-41A1-AF43-BB5C933E2139}</x14:id>
        </ext>
      </extLst>
    </cfRule>
  </conditionalFormatting>
  <conditionalFormatting sqref="G461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{269F9ED3-0650-43B8-BA00-C2D7588EE6BC}</x14:id>
        </ext>
      </extLst>
    </cfRule>
  </conditionalFormatting>
  <conditionalFormatting sqref="H461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E407:E410">
    <cfRule type="dataBar" priority="60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{287CECF3-FE9F-405C-8307-FB8EFD57E669}</x14:id>
        </ext>
      </extLst>
    </cfRule>
  </conditionalFormatting>
  <conditionalFormatting sqref="G407:G410">
    <cfRule type="dataBar" priority="60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{CB6F3F2D-B8D9-428D-86DD-54B9C05AD66B}</x14:id>
        </ext>
      </extLst>
    </cfRule>
  </conditionalFormatting>
  <conditionalFormatting sqref="E506">
    <cfRule type="dataBar" priority="7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{FF46D696-D44E-483E-B26D-38026A2FCCB0}</x14:id>
        </ext>
      </extLst>
    </cfRule>
  </conditionalFormatting>
  <conditionalFormatting sqref="G506">
    <cfRule type="dataBar" priority="7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{65F0E09D-CDC2-4DBB-9824-18BAB1318D17}</x14:id>
        </ext>
      </extLst>
    </cfRule>
  </conditionalFormatting>
  <conditionalFormatting sqref="G218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{7056389E-E78F-413F-8688-CC0DE3192D6C}</x14:id>
        </ext>
      </extLst>
    </cfRule>
  </conditionalFormatting>
  <conditionalFormatting sqref="E218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{34EED293-6F44-4329-8A6C-B37865498CE6}</x14:id>
        </ext>
      </extLst>
    </cfRule>
  </conditionalFormatting>
  <conditionalFormatting sqref="H218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E532:E581 E460 E462:E530">
    <cfRule type="dataBar" priority="8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{FBE9820D-2594-4FF0-8DEB-68A0281DAC53}</x14:id>
        </ext>
      </extLst>
    </cfRule>
  </conditionalFormatting>
  <conditionalFormatting sqref="E454:E455">
    <cfRule type="dataBar" priority="90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{BA317286-AD0C-4018-8B31-025F1465B88F}</x14:id>
        </ext>
      </extLst>
    </cfRule>
  </conditionalFormatting>
  <conditionalFormatting sqref="G454:G455">
    <cfRule type="dataBar" priority="90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{363C975C-511B-4975-B1C7-8D9849470B8A}</x14:id>
        </ext>
      </extLst>
    </cfRule>
  </conditionalFormatting>
  <conditionalFormatting sqref="E448:E449">
    <cfRule type="dataBar" priority="9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{79E1173C-ED72-4A47-A19A-0875D5D9FB02}</x14:id>
        </ext>
      </extLst>
    </cfRule>
  </conditionalFormatting>
  <conditionalFormatting sqref="G448:G449">
    <cfRule type="dataBar" priority="9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{B56AA2DE-B3BA-4AB8-A688-CB5CF89AAE73}</x14:id>
        </ext>
      </extLst>
    </cfRule>
  </conditionalFormatting>
  <conditionalFormatting sqref="H335:H336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E335:E33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{BF8ACF70-5484-44B4-AE2B-F7DD19DA03B4}</x14:id>
        </ext>
      </extLst>
    </cfRule>
  </conditionalFormatting>
  <conditionalFormatting sqref="G335:G33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{EE996C4F-BE2B-4E23-B4F0-07058E3990DF}</x14:id>
        </ext>
      </extLst>
    </cfRule>
  </conditionalFormatting>
  <conditionalFormatting sqref="H42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E42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{529E8767-C65F-46A9-AE50-0AAC1AE825E3}</x14:id>
        </ext>
      </extLst>
    </cfRule>
  </conditionalFormatting>
  <conditionalFormatting sqref="G426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{7F4D5FBD-FA50-41C1-99FF-E13C94A8AFF3}</x14:id>
        </ext>
      </extLst>
    </cfRule>
  </conditionalFormatting>
  <conditionalFormatting sqref="H361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E36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{0712D935-0637-48EA-BEE1-222ADC9E3C8E}</x14:id>
        </ext>
      </extLst>
    </cfRule>
  </conditionalFormatting>
  <conditionalFormatting sqref="G3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{495D4DCE-DC7A-45A3-B0C0-84D86B34542A}</x14:id>
        </ext>
      </extLst>
    </cfRule>
  </conditionalFormatting>
  <conditionalFormatting sqref="G8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{CC6FDCB9-57B8-4842-9866-C1AAEEC84074}</x14:id>
        </ext>
      </extLst>
    </cfRule>
  </conditionalFormatting>
  <conditionalFormatting sqref="E8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{4394F597-C804-46C5-A781-43F16738AA43}</x14:id>
        </ext>
      </extLst>
    </cfRule>
  </conditionalFormatting>
  <conditionalFormatting sqref="H8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H304:H307">
    <cfRule type="iconSet" priority="9565">
      <iconSet iconSet="3Arrows">
        <cfvo type="percent" val="0"/>
        <cfvo type="num" val="0"/>
        <cfvo type="num" val="0" gte="0"/>
      </iconSet>
    </cfRule>
  </conditionalFormatting>
  <conditionalFormatting sqref="E304:E307">
    <cfRule type="dataBar" priority="9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{81582959-CA61-4F46-9BC0-C92C67D05344}</x14:id>
        </ext>
      </extLst>
    </cfRule>
  </conditionalFormatting>
  <conditionalFormatting sqref="G304:G307">
    <cfRule type="dataBar" priority="9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{6296264C-DF8F-45B0-9F60-84C1AE980F50}</x14:id>
        </ext>
      </extLst>
    </cfRule>
  </conditionalFormatting>
  <conditionalFormatting sqref="H308:H318">
    <cfRule type="iconSet" priority="9604">
      <iconSet iconSet="3Arrows">
        <cfvo type="percent" val="0"/>
        <cfvo type="num" val="0"/>
        <cfvo type="num" val="0" gte="0"/>
      </iconSet>
    </cfRule>
  </conditionalFormatting>
  <conditionalFormatting sqref="E308:E318">
    <cfRule type="dataBar" priority="9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{82A6F659-8240-4A35-9DF7-A4460051045A}</x14:id>
        </ext>
      </extLst>
    </cfRule>
  </conditionalFormatting>
  <conditionalFormatting sqref="G308:G318">
    <cfRule type="dataBar" priority="9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{8FF04388-5458-4001-986F-45775AA6B651}</x14:id>
        </ext>
      </extLst>
    </cfRule>
  </conditionalFormatting>
  <conditionalFormatting sqref="G323:G329">
    <cfRule type="dataBar" priority="9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{3BBE6EC6-4E7B-431B-B8D4-C9BD556D2208}</x14:id>
        </ext>
      </extLst>
    </cfRule>
  </conditionalFormatting>
  <conditionalFormatting sqref="E323:E329">
    <cfRule type="dataBar" priority="9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{E928C7AC-3D0B-46F3-BEC9-622F55EFEE27}</x14:id>
        </ext>
      </extLst>
    </cfRule>
  </conditionalFormatting>
  <conditionalFormatting sqref="H390">
    <cfRule type="iconSet" priority="9610">
      <iconSet iconSet="3Arrows">
        <cfvo type="percent" val="0"/>
        <cfvo type="num" val="0"/>
        <cfvo type="num" val="0" gte="0"/>
      </iconSet>
    </cfRule>
  </conditionalFormatting>
  <conditionalFormatting sqref="E390">
    <cfRule type="dataBar" priority="9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{003E07FC-37FF-42AF-A951-9EF5657A76AB}</x14:id>
        </ext>
      </extLst>
    </cfRule>
  </conditionalFormatting>
  <conditionalFormatting sqref="G390">
    <cfRule type="dataBar" priority="9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{6E0D931C-7FE9-49C3-B906-8AADE7956F4F}</x14:id>
        </ext>
      </extLst>
    </cfRule>
  </conditionalFormatting>
  <conditionalFormatting sqref="E411:E423">
    <cfRule type="dataBar" priority="9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{1BE99423-0743-4F43-ACFE-4BF06167A090}</x14:id>
        </ext>
      </extLst>
    </cfRule>
  </conditionalFormatting>
  <conditionalFormatting sqref="G411:G423">
    <cfRule type="dataBar" priority="9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{E3ADFFB7-E4FF-4BC8-9D74-DA6E1E4EEC5C}</x14:id>
        </ext>
      </extLst>
    </cfRule>
  </conditionalFormatting>
  <conditionalFormatting sqref="E424:E425 E427:E443">
    <cfRule type="dataBar" priority="9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{5DEB219F-6D20-4989-8493-C75311EC3CD4}</x14:id>
        </ext>
      </extLst>
    </cfRule>
  </conditionalFormatting>
  <conditionalFormatting sqref="G424:G425 G427:G443">
    <cfRule type="dataBar" priority="9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{B4EE461D-B7E5-49E5-A2D1-AD7387B6302D}</x14:id>
        </ext>
      </extLst>
    </cfRule>
  </conditionalFormatting>
  <conditionalFormatting sqref="G462:G581 G460">
    <cfRule type="dataBar" priority="9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{984B52D9-3A9B-4DA9-8F51-F7897A0A79EF}</x14:id>
        </ext>
      </extLst>
    </cfRule>
  </conditionalFormatting>
  <conditionalFormatting sqref="H459:H460 H453:H455 H13:H17 H447:H449 H5:H9 H322:H334 H219:H248 H55:H80 H285:H303 H142:H181 H32:H51 H337:H360 H406:H425 H427:H443 H82:H137 H462:H581 H252:H283 H187:H217 H362:H389 H391:H402">
    <cfRule type="iconSet" priority="9780">
      <iconSet iconSet="3Arrows">
        <cfvo type="percent" val="0"/>
        <cfvo type="num" val="0"/>
        <cfvo type="num" val="0" gte="0"/>
      </iconSet>
    </cfRule>
  </conditionalFormatting>
  <conditionalFormatting sqref="G56:G80 G82:G138">
    <cfRule type="dataBar" priority="9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{B221A182-CBA2-4437-8CB3-45626582B5C8}</x14:id>
        </ext>
      </extLst>
    </cfRule>
  </conditionalFormatting>
  <conditionalFormatting sqref="E56:E80 E82:E138">
    <cfRule type="dataBar" priority="9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{A29ADFC5-BD30-4810-AA5E-548A90FD13F0}</x14:id>
        </ext>
      </extLst>
    </cfRule>
  </conditionalFormatting>
  <conditionalFormatting sqref="E33:E37 E39:E51">
    <cfRule type="dataBar" priority="9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{0C27C881-BD7A-493C-81EC-00CB3AAB5F1B}</x14:id>
        </ext>
      </extLst>
    </cfRule>
  </conditionalFormatting>
  <conditionalFormatting sqref="G33:G37 G39:G51">
    <cfRule type="dataBar" priority="97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{5B77D06D-5E9A-4050-BEB6-CD938E4172E3}</x14:id>
        </ext>
      </extLst>
    </cfRule>
  </conditionalFormatting>
  <conditionalFormatting sqref="E143:E181">
    <cfRule type="dataBar" priority="9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{451F3B17-AFF0-44BE-BC90-AF89137E1D39}</x14:id>
        </ext>
      </extLst>
    </cfRule>
  </conditionalFormatting>
  <conditionalFormatting sqref="G143:G181">
    <cfRule type="dataBar" priority="98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{128B6BC0-1496-46F9-B7ED-B1C3726BA74D}</x14:id>
        </ext>
      </extLst>
    </cfRule>
  </conditionalFormatting>
  <conditionalFormatting sqref="E182:E183">
    <cfRule type="dataBar" priority="9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{82F48DAD-1A0E-4DC9-85AD-F051545C2F11}</x14:id>
        </ext>
      </extLst>
    </cfRule>
  </conditionalFormatting>
  <conditionalFormatting sqref="G182:G183">
    <cfRule type="dataBar" priority="9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{A5353E82-09E1-401B-A93A-48E936DF0D79}</x14:id>
        </ext>
      </extLst>
    </cfRule>
  </conditionalFormatting>
  <conditionalFormatting sqref="H182:H183">
    <cfRule type="iconSet" priority="9808">
      <iconSet iconSet="3Arrows">
        <cfvo type="percent" val="0"/>
        <cfvo type="num" val="0"/>
        <cfvo type="num" val="0" gte="0"/>
      </iconSet>
    </cfRule>
  </conditionalFormatting>
  <conditionalFormatting sqref="E330:E334 E337:E360 E362:E389 E391:E402">
    <cfRule type="dataBar" priority="9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{48B15330-BC11-4047-80ED-24F89CA4AD35}</x14:id>
        </ext>
      </extLst>
    </cfRule>
  </conditionalFormatting>
  <conditionalFormatting sqref="G323:G334 G337:G360 G362:G389 G391:G402">
    <cfRule type="dataBar" priority="98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{397215FD-9E14-4B69-BD40-98C915563700}</x14:id>
        </ext>
      </extLst>
    </cfRule>
  </conditionalFormatting>
  <conditionalFormatting sqref="G219:G248 G38 G188:G217">
    <cfRule type="dataBar" priority="9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{94A4B2FE-7369-4CE7-A3AA-1162BA84AA98}</x14:id>
        </ext>
      </extLst>
    </cfRule>
  </conditionalFormatting>
  <conditionalFormatting sqref="E219:E248 E38 E188:E217">
    <cfRule type="dataBar" priority="9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{E8470B0D-6D0C-4343-AC9B-FC16B69845D7}</x14:id>
        </ext>
      </extLst>
    </cfRule>
  </conditionalFormatting>
  <conditionalFormatting sqref="E285:E303 E253:E283">
    <cfRule type="dataBar" priority="9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{B2D17D23-763E-4F03-AFAB-6A5875113D8D}</x14:id>
        </ext>
      </extLst>
    </cfRule>
  </conditionalFormatting>
  <conditionalFormatting sqref="G285:G303 G253:G283">
    <cfRule type="dataBar" priority="9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{9B5E1274-ACBF-4BEE-BE0C-C10E5A89A112}</x14:id>
        </ext>
      </extLst>
    </cfRule>
  </conditionalFormatting>
  <pageMargins left="0.23622047244094491" right="0.23622047244094491" top="0.74803149606299213" bottom="0.47244094488188981" header="0.31496062992125984" footer="0.31496062992125984"/>
  <pageSetup paperSize="256" scale="99" orientation="portrait" r:id="rId1"/>
  <headerFooter>
    <oddHeader>&amp;L&amp;"微软雅黑,加粗"&amp;8&amp;K04+000朝阳大悦城 经营数据分析中心Business Information Analysis Centre&amp;R&amp;G</oddHeader>
    <oddFooter>&amp;L&amp;"微软雅黑,加粗"&amp;6&amp;K04+000BIAC：保密文件 内部使用&amp;C&amp;"微软雅黑,常规"&amp;6&amp;K04+000&amp;D&amp;R&amp;"微软雅黑,常规"&amp;6&amp;K04+000 第 &amp;P 页</oddFooter>
  </headerFooter>
  <ignoredErrors>
    <ignoredError sqref="F32" formula="1"/>
  </ignoredError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0DAC1-1AAE-435A-8795-732078424C6F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E13:E17</xm:sqref>
        </x14:conditionalFormatting>
        <x14:conditionalFormatting xmlns:xm="http://schemas.microsoft.com/office/excel/2006/main">
          <x14:cfRule type="dataBar" id="{12360B62-3C57-479B-85E2-D9F92CA5B527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G13:G17</xm:sqref>
        </x14:conditionalFormatting>
        <x14:conditionalFormatting xmlns:xm="http://schemas.microsoft.com/office/excel/2006/main">
          <x14:cfRule type="dataBar" id="{D499C14B-47EF-4DC9-BD08-D25704E9F044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E5:E9</xm:sqref>
        </x14:conditionalFormatting>
        <x14:conditionalFormatting xmlns:xm="http://schemas.microsoft.com/office/excel/2006/main">
          <x14:cfRule type="dataBar" id="{D45C9814-71E5-4261-B84E-F1991806D67F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DF6F0240-79EB-4B1F-B03B-CE4EAB393DB5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E284</xm:sqref>
        </x14:conditionalFormatting>
        <x14:conditionalFormatting xmlns:xm="http://schemas.microsoft.com/office/excel/2006/main">
          <x14:cfRule type="dataBar" id="{893EE653-BDAA-42F3-AC85-EBB96A9188FB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G284</xm:sqref>
        </x14:conditionalFormatting>
        <x14:conditionalFormatting xmlns:xm="http://schemas.microsoft.com/office/excel/2006/main">
          <x14:cfRule type="dataBar" id="{C798293E-F520-41A1-AF43-BB5C933E2139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E461</xm:sqref>
        </x14:conditionalFormatting>
        <x14:conditionalFormatting xmlns:xm="http://schemas.microsoft.com/office/excel/2006/main">
          <x14:cfRule type="dataBar" id="{269F9ED3-0650-43B8-BA00-C2D7588EE6BC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G461</xm:sqref>
        </x14:conditionalFormatting>
        <x14:conditionalFormatting xmlns:xm="http://schemas.microsoft.com/office/excel/2006/main">
          <x14:cfRule type="dataBar" id="{287CECF3-FE9F-405C-8307-FB8EFD57E669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E407:E410</xm:sqref>
        </x14:conditionalFormatting>
        <x14:conditionalFormatting xmlns:xm="http://schemas.microsoft.com/office/excel/2006/main">
          <x14:cfRule type="dataBar" id="{CB6F3F2D-B8D9-428D-86DD-54B9C05AD66B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G407:G410</xm:sqref>
        </x14:conditionalFormatting>
        <x14:conditionalFormatting xmlns:xm="http://schemas.microsoft.com/office/excel/2006/main">
          <x14:cfRule type="dataBar" id="{FF46D696-D44E-483E-B26D-38026A2FCCB0}">
            <x14:dataBar minLength="0" maxLength="100" negativeBarColorSameAsPositive="1" axisPosition="none">
              <x14:cfvo type="min"/>
              <x14:cfvo type="max"/>
            </x14:dataBar>
          </x14:cfRule>
          <xm:sqref>E506</xm:sqref>
        </x14:conditionalFormatting>
        <x14:conditionalFormatting xmlns:xm="http://schemas.microsoft.com/office/excel/2006/main">
          <x14:cfRule type="dataBar" id="{65F0E09D-CDC2-4DBB-9824-18BAB1318D17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G506</xm:sqref>
        </x14:conditionalFormatting>
        <x14:conditionalFormatting xmlns:xm="http://schemas.microsoft.com/office/excel/2006/main">
          <x14:cfRule type="dataBar" id="{7056389E-E78F-413F-8688-CC0DE3192D6C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G218</xm:sqref>
        </x14:conditionalFormatting>
        <x14:conditionalFormatting xmlns:xm="http://schemas.microsoft.com/office/excel/2006/main">
          <x14:cfRule type="dataBar" id="{34EED293-6F44-4329-8A6C-B37865498CE6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E218</xm:sqref>
        </x14:conditionalFormatting>
        <x14:conditionalFormatting xmlns:xm="http://schemas.microsoft.com/office/excel/2006/main">
          <x14:cfRule type="dataBar" id="{FBE9820D-2594-4FF0-8DEB-68A0281DAC53}">
            <x14:dataBar minLength="0" maxLength="100" negativeBarColorSameAsPositive="1" axisPosition="none">
              <x14:cfvo type="min"/>
              <x14:cfvo type="max"/>
            </x14:dataBar>
          </x14:cfRule>
          <xm:sqref>E532:E581 E460 E462:E530</xm:sqref>
        </x14:conditionalFormatting>
        <x14:conditionalFormatting xmlns:xm="http://schemas.microsoft.com/office/excel/2006/main">
          <x14:cfRule type="dataBar" id="{BA317286-AD0C-4018-8B31-025F1465B88F}">
            <x14:dataBar minLength="0" maxLength="100" negativeBarColorSameAsPositive="1" axisPosition="none">
              <x14:cfvo type="min"/>
              <x14:cfvo type="max"/>
            </x14:dataBar>
          </x14:cfRule>
          <xm:sqref>E454:E455</xm:sqref>
        </x14:conditionalFormatting>
        <x14:conditionalFormatting xmlns:xm="http://schemas.microsoft.com/office/excel/2006/main">
          <x14:cfRule type="dataBar" id="{363C975C-511B-4975-B1C7-8D9849470B8A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G454:G455</xm:sqref>
        </x14:conditionalFormatting>
        <x14:conditionalFormatting xmlns:xm="http://schemas.microsoft.com/office/excel/2006/main">
          <x14:cfRule type="dataBar" id="{79E1173C-ED72-4A47-A19A-0875D5D9FB02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E448:E449</xm:sqref>
        </x14:conditionalFormatting>
        <x14:conditionalFormatting xmlns:xm="http://schemas.microsoft.com/office/excel/2006/main">
          <x14:cfRule type="dataBar" id="{B56AA2DE-B3BA-4AB8-A688-CB5CF89AAE73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G448:G449</xm:sqref>
        </x14:conditionalFormatting>
        <x14:conditionalFormatting xmlns:xm="http://schemas.microsoft.com/office/excel/2006/main">
          <x14:cfRule type="dataBar" id="{BF8ACF70-5484-44B4-AE2B-F7DD19DA03B4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E335:E336</xm:sqref>
        </x14:conditionalFormatting>
        <x14:conditionalFormatting xmlns:xm="http://schemas.microsoft.com/office/excel/2006/main">
          <x14:cfRule type="dataBar" id="{EE996C4F-BE2B-4E23-B4F0-07058E3990DF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G335:G336</xm:sqref>
        </x14:conditionalFormatting>
        <x14:conditionalFormatting xmlns:xm="http://schemas.microsoft.com/office/excel/2006/main">
          <x14:cfRule type="dataBar" id="{529E8767-C65F-46A9-AE50-0AAC1AE825E3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E426</xm:sqref>
        </x14:conditionalFormatting>
        <x14:conditionalFormatting xmlns:xm="http://schemas.microsoft.com/office/excel/2006/main">
          <x14:cfRule type="dataBar" id="{7F4D5FBD-FA50-41C1-99FF-E13C94A8AFF3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G426</xm:sqref>
        </x14:conditionalFormatting>
        <x14:conditionalFormatting xmlns:xm="http://schemas.microsoft.com/office/excel/2006/main">
          <x14:cfRule type="dataBar" id="{0712D935-0637-48EA-BEE1-222ADC9E3C8E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E361</xm:sqref>
        </x14:conditionalFormatting>
        <x14:conditionalFormatting xmlns:xm="http://schemas.microsoft.com/office/excel/2006/main">
          <x14:cfRule type="dataBar" id="{495D4DCE-DC7A-45A3-B0C0-84D86B34542A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G361</xm:sqref>
        </x14:conditionalFormatting>
        <x14:conditionalFormatting xmlns:xm="http://schemas.microsoft.com/office/excel/2006/main">
          <x14:cfRule type="dataBar" id="{CC6FDCB9-57B8-4842-9866-C1AAEEC84074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G81</xm:sqref>
        </x14:conditionalFormatting>
        <x14:conditionalFormatting xmlns:xm="http://schemas.microsoft.com/office/excel/2006/main">
          <x14:cfRule type="dataBar" id="{4394F597-C804-46C5-A781-43F16738AA43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E81</xm:sqref>
        </x14:conditionalFormatting>
        <x14:conditionalFormatting xmlns:xm="http://schemas.microsoft.com/office/excel/2006/main">
          <x14:cfRule type="dataBar" id="{81582959-CA61-4F46-9BC0-C92C67D05344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E304:E307</xm:sqref>
        </x14:conditionalFormatting>
        <x14:conditionalFormatting xmlns:xm="http://schemas.microsoft.com/office/excel/2006/main">
          <x14:cfRule type="dataBar" id="{6296264C-DF8F-45B0-9F60-84C1AE980F50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G304:G307</xm:sqref>
        </x14:conditionalFormatting>
        <x14:conditionalFormatting xmlns:xm="http://schemas.microsoft.com/office/excel/2006/main">
          <x14:cfRule type="dataBar" id="{82A6F659-8240-4A35-9DF7-A4460051045A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E308:E318</xm:sqref>
        </x14:conditionalFormatting>
        <x14:conditionalFormatting xmlns:xm="http://schemas.microsoft.com/office/excel/2006/main">
          <x14:cfRule type="dataBar" id="{8FF04388-5458-4001-986F-45775AA6B651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G308:G318</xm:sqref>
        </x14:conditionalFormatting>
        <x14:conditionalFormatting xmlns:xm="http://schemas.microsoft.com/office/excel/2006/main">
          <x14:cfRule type="dataBar" id="{3BBE6EC6-4E7B-431B-B8D4-C9BD556D2208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G323:G329</xm:sqref>
        </x14:conditionalFormatting>
        <x14:conditionalFormatting xmlns:xm="http://schemas.microsoft.com/office/excel/2006/main">
          <x14:cfRule type="dataBar" id="{E928C7AC-3D0B-46F3-BEC9-622F55EFEE27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E323:E329</xm:sqref>
        </x14:conditionalFormatting>
        <x14:conditionalFormatting xmlns:xm="http://schemas.microsoft.com/office/excel/2006/main">
          <x14:cfRule type="dataBar" id="{003E07FC-37FF-42AF-A951-9EF5657A76AB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E390</xm:sqref>
        </x14:conditionalFormatting>
        <x14:conditionalFormatting xmlns:xm="http://schemas.microsoft.com/office/excel/2006/main">
          <x14:cfRule type="dataBar" id="{6E0D931C-7FE9-49C3-B906-8AADE7956F4F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G390</xm:sqref>
        </x14:conditionalFormatting>
        <x14:conditionalFormatting xmlns:xm="http://schemas.microsoft.com/office/excel/2006/main">
          <x14:cfRule type="dataBar" id="{1BE99423-0743-4F43-ACFE-4BF06167A090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E411:E423</xm:sqref>
        </x14:conditionalFormatting>
        <x14:conditionalFormatting xmlns:xm="http://schemas.microsoft.com/office/excel/2006/main">
          <x14:cfRule type="dataBar" id="{E3ADFFB7-E4FF-4BC8-9D74-DA6E1E4EEC5C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G411:G423</xm:sqref>
        </x14:conditionalFormatting>
        <x14:conditionalFormatting xmlns:xm="http://schemas.microsoft.com/office/excel/2006/main">
          <x14:cfRule type="dataBar" id="{5DEB219F-6D20-4989-8493-C75311EC3CD4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E424:E425 E427:E443</xm:sqref>
        </x14:conditionalFormatting>
        <x14:conditionalFormatting xmlns:xm="http://schemas.microsoft.com/office/excel/2006/main">
          <x14:cfRule type="dataBar" id="{B4EE461D-B7E5-49E5-A2D1-AD7387B6302D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G424:G425 G427:G443</xm:sqref>
        </x14:conditionalFormatting>
        <x14:conditionalFormatting xmlns:xm="http://schemas.microsoft.com/office/excel/2006/main">
          <x14:cfRule type="dataBar" id="{984B52D9-3A9B-4DA9-8F51-F7897A0A79EF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G462:G581 G460</xm:sqref>
        </x14:conditionalFormatting>
        <x14:conditionalFormatting xmlns:xm="http://schemas.microsoft.com/office/excel/2006/main">
          <x14:cfRule type="dataBar" id="{B221A182-CBA2-4437-8CB3-45626582B5C8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G56:G80 G82:G138</xm:sqref>
        </x14:conditionalFormatting>
        <x14:conditionalFormatting xmlns:xm="http://schemas.microsoft.com/office/excel/2006/main">
          <x14:cfRule type="dataBar" id="{A29ADFC5-BD30-4810-AA5E-548A90FD13F0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E56:E80 E82:E138</xm:sqref>
        </x14:conditionalFormatting>
        <x14:conditionalFormatting xmlns:xm="http://schemas.microsoft.com/office/excel/2006/main">
          <x14:cfRule type="dataBar" id="{0C27C881-BD7A-493C-81EC-00CB3AAB5F1B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E33:E37 E39:E51</xm:sqref>
        </x14:conditionalFormatting>
        <x14:conditionalFormatting xmlns:xm="http://schemas.microsoft.com/office/excel/2006/main">
          <x14:cfRule type="dataBar" id="{5B77D06D-5E9A-4050-BEB6-CD938E4172E3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G33:G37 G39:G51</xm:sqref>
        </x14:conditionalFormatting>
        <x14:conditionalFormatting xmlns:xm="http://schemas.microsoft.com/office/excel/2006/main">
          <x14:cfRule type="dataBar" id="{451F3B17-AFF0-44BE-BC90-AF89137E1D39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E143:E181</xm:sqref>
        </x14:conditionalFormatting>
        <x14:conditionalFormatting xmlns:xm="http://schemas.microsoft.com/office/excel/2006/main">
          <x14:cfRule type="dataBar" id="{128B6BC0-1496-46F9-B7ED-B1C3726BA74D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G143:G181</xm:sqref>
        </x14:conditionalFormatting>
        <x14:conditionalFormatting xmlns:xm="http://schemas.microsoft.com/office/excel/2006/main">
          <x14:cfRule type="dataBar" id="{82F48DAD-1A0E-4DC9-85AD-F051545C2F11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E182:E183</xm:sqref>
        </x14:conditionalFormatting>
        <x14:conditionalFormatting xmlns:xm="http://schemas.microsoft.com/office/excel/2006/main">
          <x14:cfRule type="dataBar" id="{A5353E82-09E1-401B-A93A-48E936DF0D79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G182:G183</xm:sqref>
        </x14:conditionalFormatting>
        <x14:conditionalFormatting xmlns:xm="http://schemas.microsoft.com/office/excel/2006/main">
          <x14:cfRule type="dataBar" id="{48B15330-BC11-4047-80ED-24F89CA4AD35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E330:E334 E337:E360 E362:E389 E391:E402</xm:sqref>
        </x14:conditionalFormatting>
        <x14:conditionalFormatting xmlns:xm="http://schemas.microsoft.com/office/excel/2006/main">
          <x14:cfRule type="dataBar" id="{397215FD-9E14-4B69-BD40-98C915563700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G323:G334 G337:G360 G362:G389 G391:G402</xm:sqref>
        </x14:conditionalFormatting>
        <x14:conditionalFormatting xmlns:xm="http://schemas.microsoft.com/office/excel/2006/main">
          <x14:cfRule type="dataBar" id="{94A4B2FE-7369-4CE7-A3AA-1162BA84AA98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G219:G248 G38 G188:G217</xm:sqref>
        </x14:conditionalFormatting>
        <x14:conditionalFormatting xmlns:xm="http://schemas.microsoft.com/office/excel/2006/main">
          <x14:cfRule type="dataBar" id="{E8470B0D-6D0C-4343-AC9B-FC16B69845D7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E219:E248 E38 E188:E217</xm:sqref>
        </x14:conditionalFormatting>
        <x14:conditionalFormatting xmlns:xm="http://schemas.microsoft.com/office/excel/2006/main">
          <x14:cfRule type="dataBar" id="{B2D17D23-763E-4F03-AFAB-6A5875113D8D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E285:E303 E253:E283</xm:sqref>
        </x14:conditionalFormatting>
        <x14:conditionalFormatting xmlns:xm="http://schemas.microsoft.com/office/excel/2006/main">
          <x14:cfRule type="dataBar" id="{9B5E1274-ACBF-4BEE-BE0C-C10E5A89A112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G285:G303 G253:G283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35"/>
  <sheetViews>
    <sheetView workbookViewId="0">
      <pane ySplit="2" topLeftCell="A69" activePane="bottomLeft" state="frozen"/>
      <selection pane="bottomLeft" activeCell="D28" sqref="D28"/>
    </sheetView>
  </sheetViews>
  <sheetFormatPr defaultColWidth="9" defaultRowHeight="16.5" x14ac:dyDescent="0.15"/>
  <cols>
    <col min="1" max="1" width="4.875" style="216" customWidth="1"/>
    <col min="2" max="2" width="6.75" style="252" customWidth="1"/>
    <col min="3" max="3" width="8.25" style="253" customWidth="1"/>
    <col min="4" max="4" width="22.25" style="254" customWidth="1"/>
    <col min="5" max="5" width="12.5" style="255" customWidth="1"/>
    <col min="6" max="6" width="12" style="252" customWidth="1"/>
    <col min="7" max="7" width="15" style="216" bestFit="1" customWidth="1"/>
    <col min="8" max="8" width="10.625" style="216" customWidth="1"/>
    <col min="9" max="9" width="16.75" style="216" bestFit="1" customWidth="1"/>
    <col min="10" max="10" width="18.625" style="216" bestFit="1" customWidth="1"/>
    <col min="11" max="11" width="11.875" style="216" customWidth="1"/>
    <col min="12" max="12" width="12" style="216" customWidth="1"/>
    <col min="13" max="13" width="19" style="260" customWidth="1"/>
    <col min="14" max="16384" width="9" style="216"/>
  </cols>
  <sheetData>
    <row r="1" spans="1:13" ht="22.5" x14ac:dyDescent="0.15">
      <c r="A1" s="211" t="s">
        <v>667</v>
      </c>
      <c r="B1" s="280" t="str">
        <f>'P1'!E4</f>
        <v>晴 9/1℃</v>
      </c>
      <c r="C1" s="280"/>
      <c r="D1" s="212">
        <f>其他!N2</f>
        <v>42436</v>
      </c>
      <c r="E1" s="281" t="s">
        <v>392</v>
      </c>
      <c r="F1" s="281"/>
      <c r="G1" s="213">
        <f>其他!N2</f>
        <v>42436</v>
      </c>
      <c r="H1" s="214" t="s">
        <v>393</v>
      </c>
      <c r="I1" s="215">
        <f>'P1'!B11</f>
        <v>3608</v>
      </c>
      <c r="J1" s="214" t="s">
        <v>394</v>
      </c>
      <c r="K1" s="215">
        <f>'P1'!B10</f>
        <v>48510</v>
      </c>
      <c r="L1" s="216" t="s">
        <v>395</v>
      </c>
    </row>
    <row r="2" spans="1:13" s="220" customFormat="1" ht="49.5" x14ac:dyDescent="0.15">
      <c r="A2" s="217" t="s">
        <v>396</v>
      </c>
      <c r="B2" s="217" t="s">
        <v>397</v>
      </c>
      <c r="C2" s="218" t="s">
        <v>398</v>
      </c>
      <c r="D2" s="217" t="s">
        <v>399</v>
      </c>
      <c r="E2" s="217" t="s">
        <v>400</v>
      </c>
      <c r="F2" s="217" t="s">
        <v>401</v>
      </c>
      <c r="G2" s="219" t="s">
        <v>402</v>
      </c>
      <c r="H2" s="219" t="s">
        <v>403</v>
      </c>
      <c r="I2" s="219" t="s">
        <v>404</v>
      </c>
      <c r="J2" s="218" t="s">
        <v>405</v>
      </c>
      <c r="K2" s="218" t="s">
        <v>406</v>
      </c>
      <c r="L2" s="288" t="s">
        <v>407</v>
      </c>
      <c r="M2" s="257" t="s">
        <v>408</v>
      </c>
    </row>
    <row r="3" spans="1:13" s="228" customFormat="1" x14ac:dyDescent="0.15">
      <c r="A3" s="221"/>
      <c r="B3" s="222" t="s">
        <v>264</v>
      </c>
      <c r="C3" s="222" t="s">
        <v>175</v>
      </c>
      <c r="D3" s="222" t="s">
        <v>2354</v>
      </c>
      <c r="E3" s="224">
        <v>6883.53</v>
      </c>
      <c r="F3" s="222" t="s">
        <v>1940</v>
      </c>
      <c r="G3" s="224"/>
      <c r="H3" s="225"/>
      <c r="I3" s="224">
        <f t="shared" ref="I3:I61" si="0">IF(OR(H3=0,G3=0),0,G3/H3)</f>
        <v>0</v>
      </c>
      <c r="J3" s="224"/>
      <c r="K3" s="226">
        <f t="shared" ref="K3:K34" si="1">G3/$G$527</f>
        <v>0</v>
      </c>
      <c r="L3" s="224">
        <f t="shared" ref="L3:L61" si="2">G3/E3</f>
        <v>0</v>
      </c>
      <c r="M3" s="227"/>
    </row>
    <row r="4" spans="1:13" s="228" customFormat="1" x14ac:dyDescent="0.15">
      <c r="A4" s="221"/>
      <c r="B4" s="222" t="s">
        <v>409</v>
      </c>
      <c r="C4" s="223" t="s">
        <v>410</v>
      </c>
      <c r="D4" s="223" t="s">
        <v>1941</v>
      </c>
      <c r="E4" s="224">
        <v>1565.07</v>
      </c>
      <c r="F4" s="222" t="s">
        <v>1940</v>
      </c>
      <c r="G4" s="224"/>
      <c r="H4" s="225"/>
      <c r="I4" s="224">
        <f t="shared" si="0"/>
        <v>0</v>
      </c>
      <c r="J4" s="224"/>
      <c r="K4" s="226">
        <f t="shared" si="1"/>
        <v>0</v>
      </c>
      <c r="L4" s="224">
        <f t="shared" si="2"/>
        <v>0</v>
      </c>
      <c r="M4" s="227"/>
    </row>
    <row r="5" spans="1:13" s="228" customFormat="1" x14ac:dyDescent="0.15">
      <c r="A5" s="221"/>
      <c r="B5" s="222" t="s">
        <v>409</v>
      </c>
      <c r="C5" s="223" t="s">
        <v>411</v>
      </c>
      <c r="D5" s="223" t="s">
        <v>2317</v>
      </c>
      <c r="E5" s="224">
        <v>925.91</v>
      </c>
      <c r="F5" s="222" t="s">
        <v>1940</v>
      </c>
      <c r="G5" s="224"/>
      <c r="H5" s="225"/>
      <c r="I5" s="224">
        <f t="shared" si="0"/>
        <v>0</v>
      </c>
      <c r="J5" s="224"/>
      <c r="K5" s="226">
        <f t="shared" si="1"/>
        <v>0</v>
      </c>
      <c r="L5" s="224">
        <f t="shared" si="2"/>
        <v>0</v>
      </c>
      <c r="M5" s="261"/>
    </row>
    <row r="6" spans="1:13" s="228" customFormat="1" x14ac:dyDescent="0.15">
      <c r="A6" s="230" t="s">
        <v>412</v>
      </c>
      <c r="B6" s="231"/>
      <c r="C6" s="231"/>
      <c r="D6" s="232"/>
      <c r="E6" s="233">
        <f>SUM(E3:E5)</f>
        <v>9374.51</v>
      </c>
      <c r="F6" s="232"/>
      <c r="G6" s="233">
        <f>SUM(G3:G5)</f>
        <v>0</v>
      </c>
      <c r="H6" s="234">
        <f>SUM(H3:H5)</f>
        <v>0</v>
      </c>
      <c r="I6" s="233">
        <f t="shared" si="0"/>
        <v>0</v>
      </c>
      <c r="J6" s="233">
        <f>SUM(J3:J5)</f>
        <v>0</v>
      </c>
      <c r="K6" s="235">
        <f t="shared" si="1"/>
        <v>0</v>
      </c>
      <c r="L6" s="233">
        <f t="shared" si="2"/>
        <v>0</v>
      </c>
      <c r="M6" s="262"/>
    </row>
    <row r="7" spans="1:13" s="228" customFormat="1" x14ac:dyDescent="0.15">
      <c r="A7" s="221"/>
      <c r="B7" s="222" t="s">
        <v>413</v>
      </c>
      <c r="C7" s="223" t="s">
        <v>414</v>
      </c>
      <c r="D7" s="223" t="s">
        <v>2512</v>
      </c>
      <c r="E7" s="224">
        <v>3152.89</v>
      </c>
      <c r="F7" s="222" t="s">
        <v>2513</v>
      </c>
      <c r="G7" s="224">
        <v>17096</v>
      </c>
      <c r="H7" s="225">
        <v>93</v>
      </c>
      <c r="I7" s="224">
        <f t="shared" si="0"/>
        <v>183.8279569892473</v>
      </c>
      <c r="J7" s="224">
        <v>215330</v>
      </c>
      <c r="K7" s="226">
        <f t="shared" si="1"/>
        <v>2.9602237593937888E-3</v>
      </c>
      <c r="L7" s="224">
        <f t="shared" si="2"/>
        <v>5.4223268176181216</v>
      </c>
      <c r="M7" s="227"/>
    </row>
    <row r="8" spans="1:13" s="228" customFormat="1" x14ac:dyDescent="0.15">
      <c r="A8" s="230" t="s">
        <v>412</v>
      </c>
      <c r="B8" s="231"/>
      <c r="C8" s="231"/>
      <c r="D8" s="232"/>
      <c r="E8" s="233">
        <f>SUM(E7)</f>
        <v>3152.89</v>
      </c>
      <c r="F8" s="232"/>
      <c r="G8" s="233">
        <f>SUM(G7)</f>
        <v>17096</v>
      </c>
      <c r="H8" s="234">
        <f>SUM(H7)</f>
        <v>93</v>
      </c>
      <c r="I8" s="233">
        <f t="shared" si="0"/>
        <v>183.8279569892473</v>
      </c>
      <c r="J8" s="233">
        <f>SUM(J7)</f>
        <v>215330</v>
      </c>
      <c r="K8" s="235">
        <f t="shared" si="1"/>
        <v>2.9602237593937888E-3</v>
      </c>
      <c r="L8" s="233">
        <f t="shared" si="2"/>
        <v>5.4223268176181216</v>
      </c>
      <c r="M8" s="262"/>
    </row>
    <row r="9" spans="1:13" s="228" customFormat="1" x14ac:dyDescent="0.15">
      <c r="A9" s="221"/>
      <c r="B9" s="222" t="s">
        <v>265</v>
      </c>
      <c r="C9" s="223" t="s">
        <v>1012</v>
      </c>
      <c r="D9" s="223" t="s">
        <v>2514</v>
      </c>
      <c r="E9" s="224">
        <v>62.190000000000005</v>
      </c>
      <c r="F9" s="222" t="s">
        <v>2515</v>
      </c>
      <c r="G9" s="224">
        <v>5600</v>
      </c>
      <c r="H9" s="225">
        <v>9</v>
      </c>
      <c r="I9" s="224">
        <f t="shared" si="0"/>
        <v>622.22222222222217</v>
      </c>
      <c r="J9" s="224">
        <v>42680</v>
      </c>
      <c r="K9" s="226">
        <f t="shared" si="1"/>
        <v>9.696568233858924E-4</v>
      </c>
      <c r="L9" s="224">
        <f t="shared" si="2"/>
        <v>90.046631291204363</v>
      </c>
      <c r="M9" s="261"/>
    </row>
    <row r="10" spans="1:13" s="228" customFormat="1" x14ac:dyDescent="0.15">
      <c r="A10" s="221"/>
      <c r="B10" s="222" t="s">
        <v>265</v>
      </c>
      <c r="C10" s="223" t="s">
        <v>212</v>
      </c>
      <c r="D10" s="223" t="s">
        <v>2516</v>
      </c>
      <c r="E10" s="224">
        <v>182.88</v>
      </c>
      <c r="F10" s="222" t="s">
        <v>2517</v>
      </c>
      <c r="G10" s="224">
        <v>30075.5</v>
      </c>
      <c r="H10" s="225">
        <v>659</v>
      </c>
      <c r="I10" s="224">
        <f t="shared" si="0"/>
        <v>45.638088012139605</v>
      </c>
      <c r="J10" s="224">
        <v>239108.08000000002</v>
      </c>
      <c r="K10" s="226">
        <f t="shared" si="1"/>
        <v>5.2076631770968584E-3</v>
      </c>
      <c r="L10" s="224">
        <f t="shared" si="2"/>
        <v>164.45483377077866</v>
      </c>
      <c r="M10" s="261"/>
    </row>
    <row r="11" spans="1:13" s="228" customFormat="1" x14ac:dyDescent="0.15">
      <c r="A11" s="221"/>
      <c r="B11" s="222" t="s">
        <v>415</v>
      </c>
      <c r="C11" s="223" t="s">
        <v>1764</v>
      </c>
      <c r="D11" s="223" t="s">
        <v>2355</v>
      </c>
      <c r="E11" s="224">
        <v>200</v>
      </c>
      <c r="F11" s="222" t="s">
        <v>1942</v>
      </c>
      <c r="G11" s="224">
        <v>3824</v>
      </c>
      <c r="H11" s="225">
        <v>5</v>
      </c>
      <c r="I11" s="224">
        <f t="shared" si="0"/>
        <v>764.8</v>
      </c>
      <c r="J11" s="224">
        <v>77230</v>
      </c>
      <c r="K11" s="226">
        <f t="shared" si="1"/>
        <v>6.6213708796922374E-4</v>
      </c>
      <c r="L11" s="224">
        <f t="shared" si="2"/>
        <v>19.12</v>
      </c>
      <c r="M11" s="261"/>
    </row>
    <row r="12" spans="1:13" s="228" customFormat="1" x14ac:dyDescent="0.15">
      <c r="A12" s="221"/>
      <c r="B12" s="222" t="s">
        <v>265</v>
      </c>
      <c r="C12" s="223" t="s">
        <v>1787</v>
      </c>
      <c r="D12" s="223" t="s">
        <v>2518</v>
      </c>
      <c r="E12" s="224">
        <v>71.62</v>
      </c>
      <c r="F12" s="222" t="s">
        <v>2519</v>
      </c>
      <c r="G12" s="224"/>
      <c r="H12" s="225"/>
      <c r="I12" s="224">
        <f t="shared" ref="I12" si="3">IF(OR(H12=0,G12=0),0,G12/H12)</f>
        <v>0</v>
      </c>
      <c r="J12" s="224"/>
      <c r="K12" s="226">
        <f t="shared" si="1"/>
        <v>0</v>
      </c>
      <c r="L12" s="224">
        <f t="shared" ref="L12" si="4">G12/E12</f>
        <v>0</v>
      </c>
      <c r="M12" s="261"/>
    </row>
    <row r="13" spans="1:13" s="228" customFormat="1" x14ac:dyDescent="0.15">
      <c r="A13" s="221"/>
      <c r="B13" s="222" t="s">
        <v>265</v>
      </c>
      <c r="C13" s="223" t="s">
        <v>1845</v>
      </c>
      <c r="D13" s="223" t="s">
        <v>2520</v>
      </c>
      <c r="E13" s="224">
        <v>99</v>
      </c>
      <c r="F13" s="222" t="s">
        <v>2521</v>
      </c>
      <c r="G13" s="224">
        <v>1717.2</v>
      </c>
      <c r="H13" s="225">
        <v>1</v>
      </c>
      <c r="I13" s="224">
        <f t="shared" ref="I13" si="5">IF(OR(H13=0,G13=0),0,G13/H13)</f>
        <v>1717.2</v>
      </c>
      <c r="J13" s="224">
        <v>31452.600000000002</v>
      </c>
      <c r="K13" s="226">
        <f t="shared" si="1"/>
        <v>2.9733833877111686E-4</v>
      </c>
      <c r="L13" s="224">
        <f t="shared" ref="L13" si="6">G13/E13</f>
        <v>17.345454545454547</v>
      </c>
      <c r="M13" s="261"/>
    </row>
    <row r="14" spans="1:13" s="228" customFormat="1" x14ac:dyDescent="0.15">
      <c r="A14" s="221"/>
      <c r="B14" s="222" t="s">
        <v>265</v>
      </c>
      <c r="C14" s="223" t="s">
        <v>793</v>
      </c>
      <c r="D14" s="223" t="s">
        <v>2522</v>
      </c>
      <c r="E14" s="224">
        <v>33</v>
      </c>
      <c r="F14" s="222" t="s">
        <v>2519</v>
      </c>
      <c r="G14" s="224">
        <v>32382</v>
      </c>
      <c r="H14" s="225">
        <v>19</v>
      </c>
      <c r="I14" s="224">
        <f t="shared" si="0"/>
        <v>1704.3157894736842</v>
      </c>
      <c r="J14" s="224">
        <v>369012</v>
      </c>
      <c r="K14" s="226">
        <f t="shared" si="1"/>
        <v>5.6070405812289233E-3</v>
      </c>
      <c r="L14" s="224">
        <f t="shared" si="2"/>
        <v>981.27272727272725</v>
      </c>
      <c r="M14" s="261"/>
    </row>
    <row r="15" spans="1:13" s="228" customFormat="1" x14ac:dyDescent="0.15">
      <c r="A15" s="221"/>
      <c r="B15" s="222" t="s">
        <v>265</v>
      </c>
      <c r="C15" s="222" t="s">
        <v>658</v>
      </c>
      <c r="D15" s="222" t="s">
        <v>2523</v>
      </c>
      <c r="E15" s="224">
        <v>70</v>
      </c>
      <c r="F15" s="222" t="s">
        <v>2515</v>
      </c>
      <c r="G15" s="224">
        <v>30304</v>
      </c>
      <c r="H15" s="225">
        <v>30</v>
      </c>
      <c r="I15" s="224">
        <f t="shared" si="0"/>
        <v>1010.1333333333333</v>
      </c>
      <c r="J15" s="224">
        <v>141964</v>
      </c>
      <c r="K15" s="226">
        <f t="shared" si="1"/>
        <v>5.2472286385510866E-3</v>
      </c>
      <c r="L15" s="224">
        <f t="shared" si="2"/>
        <v>432.91428571428571</v>
      </c>
      <c r="M15" s="261"/>
    </row>
    <row r="16" spans="1:13" s="228" customFormat="1" x14ac:dyDescent="0.15">
      <c r="A16" s="221"/>
      <c r="B16" s="222" t="s">
        <v>265</v>
      </c>
      <c r="C16" s="222" t="s">
        <v>840</v>
      </c>
      <c r="D16" s="222" t="s">
        <v>2524</v>
      </c>
      <c r="E16" s="224">
        <v>36</v>
      </c>
      <c r="F16" s="222" t="s">
        <v>2515</v>
      </c>
      <c r="G16" s="224">
        <v>10410</v>
      </c>
      <c r="H16" s="225">
        <v>14</v>
      </c>
      <c r="I16" s="224">
        <f t="shared" si="0"/>
        <v>743.57142857142856</v>
      </c>
      <c r="J16" s="224">
        <v>122455</v>
      </c>
      <c r="K16" s="226">
        <f t="shared" si="1"/>
        <v>1.8025227734727036E-3</v>
      </c>
      <c r="L16" s="224">
        <f t="shared" si="2"/>
        <v>289.16666666666669</v>
      </c>
      <c r="M16" s="261"/>
    </row>
    <row r="17" spans="1:13" s="228" customFormat="1" x14ac:dyDescent="0.15">
      <c r="A17" s="221"/>
      <c r="B17" s="222" t="s">
        <v>265</v>
      </c>
      <c r="C17" s="222" t="s">
        <v>839</v>
      </c>
      <c r="D17" s="222" t="s">
        <v>2525</v>
      </c>
      <c r="E17" s="224">
        <v>183</v>
      </c>
      <c r="F17" s="222" t="s">
        <v>2517</v>
      </c>
      <c r="G17" s="224">
        <v>7026.4</v>
      </c>
      <c r="H17" s="225">
        <v>92</v>
      </c>
      <c r="I17" s="224">
        <f t="shared" si="0"/>
        <v>76.373913043478254</v>
      </c>
      <c r="J17" s="224">
        <v>78605.759999999995</v>
      </c>
      <c r="K17" s="226">
        <f t="shared" si="1"/>
        <v>1.2166422685426133E-3</v>
      </c>
      <c r="L17" s="224">
        <f t="shared" si="2"/>
        <v>38.395628415300543</v>
      </c>
      <c r="M17" s="261"/>
    </row>
    <row r="18" spans="1:13" s="228" customFormat="1" x14ac:dyDescent="0.15">
      <c r="A18" s="221"/>
      <c r="B18" s="222" t="s">
        <v>265</v>
      </c>
      <c r="C18" s="222" t="s">
        <v>181</v>
      </c>
      <c r="D18" s="222" t="s">
        <v>2526</v>
      </c>
      <c r="E18" s="224">
        <v>1805.62</v>
      </c>
      <c r="F18" s="222" t="s">
        <v>2527</v>
      </c>
      <c r="G18" s="224">
        <v>67112</v>
      </c>
      <c r="H18" s="225">
        <v>245</v>
      </c>
      <c r="I18" s="224">
        <f t="shared" si="0"/>
        <v>273.9265306122449</v>
      </c>
      <c r="J18" s="224">
        <v>689555</v>
      </c>
      <c r="K18" s="226">
        <f t="shared" si="1"/>
        <v>1.1620644416263216E-2</v>
      </c>
      <c r="L18" s="224">
        <f t="shared" si="2"/>
        <v>37.168396451080518</v>
      </c>
      <c r="M18" s="261"/>
    </row>
    <row r="19" spans="1:13" s="228" customFormat="1" x14ac:dyDescent="0.15">
      <c r="A19" s="221"/>
      <c r="B19" s="222" t="s">
        <v>265</v>
      </c>
      <c r="C19" s="222" t="s">
        <v>1018</v>
      </c>
      <c r="D19" s="222" t="s">
        <v>2528</v>
      </c>
      <c r="E19" s="224">
        <v>45.82</v>
      </c>
      <c r="F19" s="222" t="s">
        <v>2519</v>
      </c>
      <c r="G19" s="224">
        <v>6074</v>
      </c>
      <c r="H19" s="225">
        <v>4</v>
      </c>
      <c r="I19" s="224">
        <f t="shared" si="0"/>
        <v>1518.5</v>
      </c>
      <c r="J19" s="224">
        <v>41596</v>
      </c>
      <c r="K19" s="226">
        <f t="shared" si="1"/>
        <v>1.0517313473653411E-3</v>
      </c>
      <c r="L19" s="224">
        <f t="shared" si="2"/>
        <v>132.56219991270189</v>
      </c>
      <c r="M19" s="261"/>
    </row>
    <row r="20" spans="1:13" s="228" customFormat="1" x14ac:dyDescent="0.15">
      <c r="A20" s="221"/>
      <c r="B20" s="222" t="s">
        <v>265</v>
      </c>
      <c r="C20" s="222" t="s">
        <v>1061</v>
      </c>
      <c r="D20" s="222" t="s">
        <v>2529</v>
      </c>
      <c r="E20" s="224">
        <v>60.93</v>
      </c>
      <c r="F20" s="222" t="s">
        <v>2519</v>
      </c>
      <c r="G20" s="224">
        <v>12066</v>
      </c>
      <c r="H20" s="225">
        <v>3</v>
      </c>
      <c r="I20" s="224">
        <f t="shared" si="0"/>
        <v>4022</v>
      </c>
      <c r="J20" s="224">
        <v>95386</v>
      </c>
      <c r="K20" s="226">
        <f t="shared" si="1"/>
        <v>2.0892641483882461E-3</v>
      </c>
      <c r="L20" s="224">
        <f t="shared" si="2"/>
        <v>198.03052683407188</v>
      </c>
      <c r="M20" s="261"/>
    </row>
    <row r="21" spans="1:13" x14ac:dyDescent="0.15">
      <c r="A21" s="221"/>
      <c r="B21" s="222" t="s">
        <v>415</v>
      </c>
      <c r="C21" s="223" t="s">
        <v>416</v>
      </c>
      <c r="D21" s="223" t="s">
        <v>2530</v>
      </c>
      <c r="E21" s="224">
        <v>386.01</v>
      </c>
      <c r="F21" s="222" t="s">
        <v>2515</v>
      </c>
      <c r="G21" s="224">
        <v>151708.79999999999</v>
      </c>
      <c r="H21" s="225">
        <v>275</v>
      </c>
      <c r="I21" s="224">
        <f t="shared" si="0"/>
        <v>551.66836363636355</v>
      </c>
      <c r="J21" s="224">
        <v>1046782.1000000001</v>
      </c>
      <c r="K21" s="226">
        <f t="shared" si="1"/>
        <v>2.6268834479943871E-2</v>
      </c>
      <c r="L21" s="224">
        <f t="shared" si="2"/>
        <v>393.01779746638687</v>
      </c>
      <c r="M21" s="258"/>
    </row>
    <row r="22" spans="1:13" x14ac:dyDescent="0.15">
      <c r="A22" s="221"/>
      <c r="B22" s="222" t="s">
        <v>265</v>
      </c>
      <c r="C22" s="223" t="s">
        <v>876</v>
      </c>
      <c r="D22" s="223" t="s">
        <v>2531</v>
      </c>
      <c r="E22" s="224">
        <v>63.87</v>
      </c>
      <c r="F22" s="222" t="s">
        <v>2532</v>
      </c>
      <c r="G22" s="224">
        <v>23622</v>
      </c>
      <c r="H22" s="225">
        <v>54</v>
      </c>
      <c r="I22" s="224">
        <f t="shared" si="0"/>
        <v>437.44444444444446</v>
      </c>
      <c r="J22" s="224">
        <v>223084.5</v>
      </c>
      <c r="K22" s="226">
        <f t="shared" si="1"/>
        <v>4.0902202646467059E-3</v>
      </c>
      <c r="L22" s="224">
        <f t="shared" si="2"/>
        <v>369.84499765147956</v>
      </c>
      <c r="M22" s="258"/>
    </row>
    <row r="23" spans="1:13" s="228" customFormat="1" x14ac:dyDescent="0.15">
      <c r="A23" s="221"/>
      <c r="B23" s="222" t="s">
        <v>415</v>
      </c>
      <c r="C23" s="223" t="s">
        <v>417</v>
      </c>
      <c r="D23" s="223" t="s">
        <v>2533</v>
      </c>
      <c r="E23" s="224">
        <v>140</v>
      </c>
      <c r="F23" s="222" t="s">
        <v>2521</v>
      </c>
      <c r="G23" s="224">
        <v>10934</v>
      </c>
      <c r="H23" s="225">
        <v>6</v>
      </c>
      <c r="I23" s="224">
        <f t="shared" si="0"/>
        <v>1822.3333333333333</v>
      </c>
      <c r="J23" s="224">
        <v>118202</v>
      </c>
      <c r="K23" s="226">
        <f t="shared" si="1"/>
        <v>1.8932549476609549E-3</v>
      </c>
      <c r="L23" s="224">
        <f t="shared" si="2"/>
        <v>78.099999999999994</v>
      </c>
      <c r="M23" s="261"/>
    </row>
    <row r="24" spans="1:13" s="228" customFormat="1" x14ac:dyDescent="0.15">
      <c r="A24" s="221"/>
      <c r="B24" s="222" t="s">
        <v>415</v>
      </c>
      <c r="C24" s="223" t="s">
        <v>1133</v>
      </c>
      <c r="D24" s="223" t="s">
        <v>2534</v>
      </c>
      <c r="E24" s="224">
        <v>80</v>
      </c>
      <c r="F24" s="222" t="s">
        <v>2535</v>
      </c>
      <c r="G24" s="224"/>
      <c r="H24" s="225"/>
      <c r="I24" s="224">
        <f t="shared" si="0"/>
        <v>0</v>
      </c>
      <c r="J24" s="224">
        <v>23823</v>
      </c>
      <c r="K24" s="226">
        <f t="shared" si="1"/>
        <v>0</v>
      </c>
      <c r="L24" s="224">
        <f t="shared" si="2"/>
        <v>0</v>
      </c>
      <c r="M24" s="261"/>
    </row>
    <row r="25" spans="1:13" s="228" customFormat="1" x14ac:dyDescent="0.15">
      <c r="A25" s="221"/>
      <c r="B25" s="222" t="s">
        <v>415</v>
      </c>
      <c r="C25" s="223" t="s">
        <v>418</v>
      </c>
      <c r="D25" s="223" t="s">
        <v>2536</v>
      </c>
      <c r="E25" s="224">
        <v>100.1</v>
      </c>
      <c r="F25" s="222" t="s">
        <v>2521</v>
      </c>
      <c r="G25" s="224">
        <v>3594</v>
      </c>
      <c r="H25" s="225">
        <v>5</v>
      </c>
      <c r="I25" s="224">
        <f t="shared" si="0"/>
        <v>718.8</v>
      </c>
      <c r="J25" s="224">
        <v>52015</v>
      </c>
      <c r="K25" s="226">
        <f t="shared" si="1"/>
        <v>6.2231189700873168E-4</v>
      </c>
      <c r="L25" s="224">
        <f t="shared" si="2"/>
        <v>35.904095904095904</v>
      </c>
      <c r="M25" s="261"/>
    </row>
    <row r="26" spans="1:13" s="228" customFormat="1" x14ac:dyDescent="0.15">
      <c r="A26" s="221"/>
      <c r="B26" s="222" t="s">
        <v>415</v>
      </c>
      <c r="C26" s="223" t="s">
        <v>419</v>
      </c>
      <c r="D26" s="223" t="s">
        <v>2537</v>
      </c>
      <c r="E26" s="224">
        <v>173.59</v>
      </c>
      <c r="F26" s="222" t="s">
        <v>2521</v>
      </c>
      <c r="G26" s="224">
        <v>11720</v>
      </c>
      <c r="H26" s="225">
        <v>5</v>
      </c>
      <c r="I26" s="224">
        <f t="shared" si="0"/>
        <v>2344</v>
      </c>
      <c r="J26" s="224">
        <v>58338</v>
      </c>
      <c r="K26" s="226">
        <f t="shared" si="1"/>
        <v>2.0293532089433321E-3</v>
      </c>
      <c r="L26" s="224">
        <f t="shared" si="2"/>
        <v>67.515409873840653</v>
      </c>
      <c r="M26" s="261"/>
    </row>
    <row r="27" spans="1:13" s="228" customFormat="1" x14ac:dyDescent="0.15">
      <c r="A27" s="221"/>
      <c r="B27" s="222" t="s">
        <v>415</v>
      </c>
      <c r="C27" s="223" t="s">
        <v>649</v>
      </c>
      <c r="D27" s="222" t="s">
        <v>2538</v>
      </c>
      <c r="E27" s="224">
        <v>79.510000000000005</v>
      </c>
      <c r="F27" s="222" t="s">
        <v>2519</v>
      </c>
      <c r="G27" s="224">
        <v>12994</v>
      </c>
      <c r="H27" s="225">
        <v>2</v>
      </c>
      <c r="I27" s="224">
        <f t="shared" si="0"/>
        <v>6497</v>
      </c>
      <c r="J27" s="224">
        <v>335737</v>
      </c>
      <c r="K27" s="226">
        <f t="shared" si="1"/>
        <v>2.2499501362636225E-3</v>
      </c>
      <c r="L27" s="224">
        <f t="shared" si="2"/>
        <v>163.42598415293673</v>
      </c>
      <c r="M27" s="261"/>
    </row>
    <row r="28" spans="1:13" s="228" customFormat="1" x14ac:dyDescent="0.15">
      <c r="A28" s="221"/>
      <c r="B28" s="222" t="s">
        <v>415</v>
      </c>
      <c r="C28" s="223" t="s">
        <v>652</v>
      </c>
      <c r="D28" s="222" t="s">
        <v>2539</v>
      </c>
      <c r="E28" s="224">
        <v>75.150000000000006</v>
      </c>
      <c r="F28" s="222" t="s">
        <v>2540</v>
      </c>
      <c r="G28" s="224">
        <v>12216</v>
      </c>
      <c r="H28" s="225">
        <v>11</v>
      </c>
      <c r="I28" s="224">
        <f t="shared" si="0"/>
        <v>1110.5454545454545</v>
      </c>
      <c r="J28" s="224">
        <v>108551</v>
      </c>
      <c r="K28" s="226">
        <f t="shared" si="1"/>
        <v>2.115237099014654E-3</v>
      </c>
      <c r="L28" s="224">
        <f t="shared" si="2"/>
        <v>162.55489021956086</v>
      </c>
      <c r="M28" s="261"/>
    </row>
    <row r="29" spans="1:13" s="228" customFormat="1" x14ac:dyDescent="0.15">
      <c r="A29" s="221"/>
      <c r="B29" s="222" t="s">
        <v>265</v>
      </c>
      <c r="C29" s="223" t="s">
        <v>1657</v>
      </c>
      <c r="D29" s="222" t="s">
        <v>2541</v>
      </c>
      <c r="E29" s="224">
        <v>65.83</v>
      </c>
      <c r="F29" s="222" t="s">
        <v>2515</v>
      </c>
      <c r="G29" s="224">
        <v>42919</v>
      </c>
      <c r="H29" s="225">
        <v>150</v>
      </c>
      <c r="I29" s="224">
        <f t="shared" ref="I29" si="7">IF(OR(H29=0,G29=0),0,G29/H29)</f>
        <v>286.12666666666667</v>
      </c>
      <c r="J29" s="224">
        <v>431335.69999999995</v>
      </c>
      <c r="K29" s="226">
        <f t="shared" si="1"/>
        <v>7.4315537862319854E-3</v>
      </c>
      <c r="L29" s="224">
        <f t="shared" ref="L29" si="8">G29/E29</f>
        <v>651.96718821206139</v>
      </c>
      <c r="M29" s="261"/>
    </row>
    <row r="30" spans="1:13" s="228" customFormat="1" x14ac:dyDescent="0.15">
      <c r="A30" s="221"/>
      <c r="B30" s="222" t="s">
        <v>415</v>
      </c>
      <c r="C30" s="223" t="s">
        <v>324</v>
      </c>
      <c r="D30" s="223" t="s">
        <v>2356</v>
      </c>
      <c r="E30" s="224">
        <v>747.79</v>
      </c>
      <c r="F30" s="222" t="s">
        <v>2318</v>
      </c>
      <c r="G30" s="224">
        <v>70502</v>
      </c>
      <c r="H30" s="225">
        <v>471</v>
      </c>
      <c r="I30" s="224">
        <f t="shared" si="0"/>
        <v>149.68577494692144</v>
      </c>
      <c r="J30" s="224">
        <v>694102</v>
      </c>
      <c r="K30" s="226">
        <f t="shared" si="1"/>
        <v>1.2207633100420034E-2</v>
      </c>
      <c r="L30" s="224">
        <f t="shared" si="2"/>
        <v>94.280479813851485</v>
      </c>
      <c r="M30" s="261"/>
    </row>
    <row r="31" spans="1:13" s="228" customFormat="1" x14ac:dyDescent="0.15">
      <c r="A31" s="221"/>
      <c r="B31" s="222" t="s">
        <v>415</v>
      </c>
      <c r="C31" s="223" t="s">
        <v>1798</v>
      </c>
      <c r="D31" s="222" t="s">
        <v>2542</v>
      </c>
      <c r="E31" s="224">
        <v>89.39</v>
      </c>
      <c r="F31" s="222" t="s">
        <v>2521</v>
      </c>
      <c r="G31" s="224">
        <v>2230</v>
      </c>
      <c r="H31" s="225">
        <v>2</v>
      </c>
      <c r="I31" s="224">
        <v>10</v>
      </c>
      <c r="J31" s="224">
        <v>40046</v>
      </c>
      <c r="K31" s="226">
        <f t="shared" si="1"/>
        <v>3.8613119931259644E-4</v>
      </c>
      <c r="L31" s="224">
        <f t="shared" si="2"/>
        <v>24.946862065107954</v>
      </c>
      <c r="M31" s="261"/>
    </row>
    <row r="32" spans="1:13" s="228" customFormat="1" x14ac:dyDescent="0.15">
      <c r="A32" s="221"/>
      <c r="B32" s="222" t="s">
        <v>415</v>
      </c>
      <c r="C32" s="223" t="s">
        <v>1705</v>
      </c>
      <c r="D32" s="222" t="s">
        <v>2543</v>
      </c>
      <c r="E32" s="224">
        <v>827</v>
      </c>
      <c r="F32" s="222" t="s">
        <v>2544</v>
      </c>
      <c r="G32" s="224">
        <v>500000</v>
      </c>
      <c r="H32" s="225">
        <v>1</v>
      </c>
      <c r="I32" s="224">
        <f t="shared" ref="I32" si="9">IF(OR(H32=0,G32=0),0,G32/H32)</f>
        <v>500000</v>
      </c>
      <c r="J32" s="224">
        <v>4890000</v>
      </c>
      <c r="K32" s="226">
        <f t="shared" si="1"/>
        <v>8.6576502088026114E-2</v>
      </c>
      <c r="L32" s="224">
        <f t="shared" ref="L32" si="10">G32/E32</f>
        <v>604.59492140266025</v>
      </c>
      <c r="M32" s="261"/>
    </row>
    <row r="33" spans="1:13" s="228" customFormat="1" x14ac:dyDescent="0.15">
      <c r="A33" s="221"/>
      <c r="B33" s="222" t="s">
        <v>265</v>
      </c>
      <c r="C33" s="223" t="s">
        <v>179</v>
      </c>
      <c r="D33" s="223" t="s">
        <v>2545</v>
      </c>
      <c r="E33" s="224">
        <v>1954.7</v>
      </c>
      <c r="F33" s="222" t="s">
        <v>2521</v>
      </c>
      <c r="G33" s="224">
        <v>145000</v>
      </c>
      <c r="H33" s="225">
        <v>440</v>
      </c>
      <c r="I33" s="224">
        <f t="shared" si="0"/>
        <v>329.54545454545456</v>
      </c>
      <c r="J33" s="224">
        <v>1423000</v>
      </c>
      <c r="K33" s="226">
        <f t="shared" si="1"/>
        <v>2.5107185605527573E-2</v>
      </c>
      <c r="L33" s="224">
        <f t="shared" si="2"/>
        <v>74.180181101959377</v>
      </c>
      <c r="M33" s="261"/>
    </row>
    <row r="34" spans="1:13" s="228" customFormat="1" x14ac:dyDescent="0.15">
      <c r="A34" s="221"/>
      <c r="B34" s="222" t="s">
        <v>265</v>
      </c>
      <c r="C34" s="223" t="s">
        <v>420</v>
      </c>
      <c r="D34" s="223" t="s">
        <v>2546</v>
      </c>
      <c r="E34" s="224">
        <v>434.2</v>
      </c>
      <c r="F34" s="222" t="s">
        <v>2535</v>
      </c>
      <c r="G34" s="224">
        <v>23000</v>
      </c>
      <c r="H34" s="225">
        <v>1</v>
      </c>
      <c r="I34" s="224">
        <f t="shared" si="0"/>
        <v>23000</v>
      </c>
      <c r="J34" s="224">
        <v>224500</v>
      </c>
      <c r="K34" s="226">
        <f t="shared" si="1"/>
        <v>3.982519096049201E-3</v>
      </c>
      <c r="L34" s="224">
        <f t="shared" si="2"/>
        <v>52.970981114693693</v>
      </c>
      <c r="M34" s="261"/>
    </row>
    <row r="35" spans="1:13" s="228" customFormat="1" x14ac:dyDescent="0.15">
      <c r="A35" s="221"/>
      <c r="B35" s="222" t="s">
        <v>266</v>
      </c>
      <c r="C35" s="223" t="s">
        <v>1660</v>
      </c>
      <c r="D35" s="223" t="s">
        <v>2547</v>
      </c>
      <c r="E35" s="224">
        <v>22</v>
      </c>
      <c r="F35" s="222" t="s">
        <v>2548</v>
      </c>
      <c r="G35" s="224"/>
      <c r="H35" s="225"/>
      <c r="I35" s="224">
        <f t="shared" ref="I35" si="11">IF(OR(H35=0,G35=0),0,G35/H35)</f>
        <v>0</v>
      </c>
      <c r="J35" s="224"/>
      <c r="K35" s="226">
        <f t="shared" ref="K35:K66" si="12">G35/$G$527</f>
        <v>0</v>
      </c>
      <c r="L35" s="224">
        <f t="shared" ref="L35" si="13">G35/E35</f>
        <v>0</v>
      </c>
      <c r="M35" s="261"/>
    </row>
    <row r="36" spans="1:13" s="228" customFormat="1" x14ac:dyDescent="0.15">
      <c r="A36" s="221"/>
      <c r="B36" s="222" t="s">
        <v>265</v>
      </c>
      <c r="C36" s="223" t="s">
        <v>1080</v>
      </c>
      <c r="D36" s="223" t="s">
        <v>2357</v>
      </c>
      <c r="E36" s="224">
        <v>173</v>
      </c>
      <c r="F36" s="222" t="s">
        <v>2319</v>
      </c>
      <c r="G36" s="224">
        <v>436</v>
      </c>
      <c r="H36" s="225">
        <v>2</v>
      </c>
      <c r="I36" s="224">
        <f t="shared" si="0"/>
        <v>218</v>
      </c>
      <c r="J36" s="224">
        <v>4743</v>
      </c>
      <c r="K36" s="226">
        <f t="shared" si="12"/>
        <v>7.5494709820758763E-5</v>
      </c>
      <c r="L36" s="224">
        <f t="shared" si="2"/>
        <v>2.5202312138728322</v>
      </c>
      <c r="M36" s="261"/>
    </row>
    <row r="37" spans="1:13" s="228" customFormat="1" x14ac:dyDescent="0.15">
      <c r="A37" s="221"/>
      <c r="B37" s="222" t="s">
        <v>415</v>
      </c>
      <c r="C37" s="223" t="s">
        <v>421</v>
      </c>
      <c r="D37" s="223" t="s">
        <v>2549</v>
      </c>
      <c r="E37" s="224">
        <v>127.91</v>
      </c>
      <c r="F37" s="222" t="s">
        <v>2517</v>
      </c>
      <c r="G37" s="224">
        <v>18349</v>
      </c>
      <c r="H37" s="225">
        <v>3</v>
      </c>
      <c r="I37" s="224">
        <f t="shared" si="0"/>
        <v>6116.333333333333</v>
      </c>
      <c r="J37" s="224">
        <v>150125.70000000001</v>
      </c>
      <c r="K37" s="226">
        <f t="shared" si="12"/>
        <v>3.177184473626382E-3</v>
      </c>
      <c r="L37" s="224">
        <f t="shared" si="2"/>
        <v>143.45242748807755</v>
      </c>
      <c r="M37" s="258"/>
    </row>
    <row r="38" spans="1:13" s="228" customFormat="1" x14ac:dyDescent="0.15">
      <c r="A38" s="221"/>
      <c r="B38" s="222" t="s">
        <v>265</v>
      </c>
      <c r="C38" s="223" t="s">
        <v>377</v>
      </c>
      <c r="D38" s="223" t="s">
        <v>2550</v>
      </c>
      <c r="E38" s="224">
        <v>140.08000000000001</v>
      </c>
      <c r="F38" s="222" t="s">
        <v>2551</v>
      </c>
      <c r="G38" s="224">
        <v>24934.3</v>
      </c>
      <c r="H38" s="225">
        <v>1546</v>
      </c>
      <c r="I38" s="224">
        <f t="shared" si="0"/>
        <v>16.128266494178526</v>
      </c>
      <c r="J38" s="224">
        <v>191630.9</v>
      </c>
      <c r="K38" s="226">
        <f t="shared" si="12"/>
        <v>4.3174489520269388E-3</v>
      </c>
      <c r="L38" s="224">
        <f t="shared" si="2"/>
        <v>178.00042832667046</v>
      </c>
      <c r="M38" s="258"/>
    </row>
    <row r="39" spans="1:13" s="228" customFormat="1" x14ac:dyDescent="0.15">
      <c r="A39" s="221"/>
      <c r="B39" s="222" t="s">
        <v>265</v>
      </c>
      <c r="C39" s="223" t="s">
        <v>350</v>
      </c>
      <c r="D39" s="223" t="s">
        <v>2552</v>
      </c>
      <c r="E39" s="224">
        <v>65.540000000000006</v>
      </c>
      <c r="F39" s="222" t="s">
        <v>2519</v>
      </c>
      <c r="G39" s="224">
        <v>20273</v>
      </c>
      <c r="H39" s="225">
        <v>13</v>
      </c>
      <c r="I39" s="224">
        <f t="shared" si="0"/>
        <v>1559.4615384615386</v>
      </c>
      <c r="J39" s="224">
        <v>54532</v>
      </c>
      <c r="K39" s="226">
        <f t="shared" si="12"/>
        <v>3.5103308536611065E-3</v>
      </c>
      <c r="L39" s="224">
        <f t="shared" si="2"/>
        <v>309.32255111382358</v>
      </c>
      <c r="M39" s="261"/>
    </row>
    <row r="40" spans="1:13" s="228" customFormat="1" x14ac:dyDescent="0.15">
      <c r="A40" s="221"/>
      <c r="B40" s="222" t="s">
        <v>265</v>
      </c>
      <c r="C40" s="223" t="s">
        <v>422</v>
      </c>
      <c r="D40" s="223" t="s">
        <v>2553</v>
      </c>
      <c r="E40" s="224">
        <v>100.16</v>
      </c>
      <c r="F40" s="222" t="s">
        <v>2535</v>
      </c>
      <c r="G40" s="224"/>
      <c r="H40" s="225"/>
      <c r="I40" s="224">
        <f t="shared" si="0"/>
        <v>0</v>
      </c>
      <c r="J40" s="224"/>
      <c r="K40" s="226">
        <f t="shared" si="12"/>
        <v>0</v>
      </c>
      <c r="L40" s="224">
        <f t="shared" si="2"/>
        <v>0</v>
      </c>
      <c r="M40" s="261"/>
    </row>
    <row r="41" spans="1:13" s="228" customFormat="1" x14ac:dyDescent="0.15">
      <c r="A41" s="221"/>
      <c r="B41" s="222" t="s">
        <v>265</v>
      </c>
      <c r="C41" s="223" t="s">
        <v>1899</v>
      </c>
      <c r="D41" s="223" t="s">
        <v>2554</v>
      </c>
      <c r="E41" s="224">
        <v>90</v>
      </c>
      <c r="F41" s="222" t="s">
        <v>2521</v>
      </c>
      <c r="G41" s="224">
        <v>11048.4</v>
      </c>
      <c r="H41" s="225">
        <v>10</v>
      </c>
      <c r="I41" s="224">
        <f t="shared" ref="I41" si="14">IF(OR(H41=0,G41=0),0,G41/H41)</f>
        <v>1104.8399999999999</v>
      </c>
      <c r="J41" s="224">
        <v>61888.000000000007</v>
      </c>
      <c r="K41" s="226">
        <f t="shared" si="12"/>
        <v>1.9130636513386952E-3</v>
      </c>
      <c r="L41" s="224">
        <f t="shared" ref="L41" si="15">G41/E41</f>
        <v>122.75999999999999</v>
      </c>
      <c r="M41" s="261"/>
    </row>
    <row r="42" spans="1:13" s="228" customFormat="1" x14ac:dyDescent="0.15">
      <c r="A42" s="221"/>
      <c r="B42" s="222" t="s">
        <v>265</v>
      </c>
      <c r="C42" s="223" t="s">
        <v>1067</v>
      </c>
      <c r="D42" s="223" t="s">
        <v>2555</v>
      </c>
      <c r="E42" s="224">
        <v>194.2</v>
      </c>
      <c r="F42" s="222" t="s">
        <v>2521</v>
      </c>
      <c r="G42" s="224">
        <v>17551</v>
      </c>
      <c r="H42" s="225">
        <v>15</v>
      </c>
      <c r="I42" s="224">
        <f t="shared" si="0"/>
        <v>1170.0666666666666</v>
      </c>
      <c r="J42" s="224">
        <v>229072</v>
      </c>
      <c r="K42" s="226">
        <f t="shared" si="12"/>
        <v>3.0390083762938925E-3</v>
      </c>
      <c r="L42" s="224">
        <f t="shared" si="2"/>
        <v>90.375901132852732</v>
      </c>
      <c r="M42" s="261"/>
    </row>
    <row r="43" spans="1:13" s="228" customFormat="1" x14ac:dyDescent="0.15">
      <c r="A43" s="221"/>
      <c r="B43" s="222" t="s">
        <v>265</v>
      </c>
      <c r="C43" s="223" t="s">
        <v>380</v>
      </c>
      <c r="D43" s="223" t="s">
        <v>2556</v>
      </c>
      <c r="E43" s="224">
        <v>175</v>
      </c>
      <c r="F43" s="222" t="s">
        <v>2557</v>
      </c>
      <c r="G43" s="224">
        <v>27337</v>
      </c>
      <c r="H43" s="225">
        <v>60</v>
      </c>
      <c r="I43" s="224">
        <f t="shared" si="0"/>
        <v>455.61666666666667</v>
      </c>
      <c r="J43" s="224">
        <v>246078</v>
      </c>
      <c r="K43" s="226">
        <f t="shared" si="12"/>
        <v>4.73348367516074E-3</v>
      </c>
      <c r="L43" s="224">
        <f t="shared" si="2"/>
        <v>156.21142857142857</v>
      </c>
      <c r="M43" s="261"/>
    </row>
    <row r="44" spans="1:13" s="228" customFormat="1" x14ac:dyDescent="0.15">
      <c r="A44" s="221"/>
      <c r="B44" s="222" t="s">
        <v>1648</v>
      </c>
      <c r="C44" s="223" t="s">
        <v>360</v>
      </c>
      <c r="D44" s="223" t="s">
        <v>2558</v>
      </c>
      <c r="E44" s="224">
        <v>32.630000000000003</v>
      </c>
      <c r="F44" s="222" t="s">
        <v>2540</v>
      </c>
      <c r="G44" s="224">
        <v>17970</v>
      </c>
      <c r="H44" s="225">
        <v>7</v>
      </c>
      <c r="I44" s="224">
        <f t="shared" si="0"/>
        <v>2567.1428571428573</v>
      </c>
      <c r="J44" s="224">
        <v>37870</v>
      </c>
      <c r="K44" s="226">
        <f t="shared" si="12"/>
        <v>3.1115594850436583E-3</v>
      </c>
      <c r="L44" s="224">
        <f t="shared" ref="L44" si="16">G44/E44</f>
        <v>550.72019613852274</v>
      </c>
      <c r="M44" s="261"/>
    </row>
    <row r="45" spans="1:13" s="228" customFormat="1" x14ac:dyDescent="0.15">
      <c r="A45" s="221"/>
      <c r="B45" s="222" t="s">
        <v>265</v>
      </c>
      <c r="C45" s="223" t="s">
        <v>423</v>
      </c>
      <c r="D45" s="223" t="s">
        <v>2559</v>
      </c>
      <c r="E45" s="224">
        <v>73.900000000000006</v>
      </c>
      <c r="F45" s="222" t="s">
        <v>2519</v>
      </c>
      <c r="G45" s="224">
        <v>28288</v>
      </c>
      <c r="H45" s="225">
        <v>16</v>
      </c>
      <c r="I45" s="224">
        <f t="shared" si="0"/>
        <v>1768</v>
      </c>
      <c r="J45" s="224">
        <v>263981.5</v>
      </c>
      <c r="K45" s="226">
        <f t="shared" si="12"/>
        <v>4.8981521821321655E-3</v>
      </c>
      <c r="L45" s="224">
        <f t="shared" si="2"/>
        <v>382.78755074424896</v>
      </c>
      <c r="M45" s="261"/>
    </row>
    <row r="46" spans="1:13" s="228" customFormat="1" x14ac:dyDescent="0.15">
      <c r="A46" s="221"/>
      <c r="B46" s="222" t="s">
        <v>265</v>
      </c>
      <c r="C46" s="223" t="s">
        <v>507</v>
      </c>
      <c r="D46" s="223" t="s">
        <v>2560</v>
      </c>
      <c r="E46" s="224">
        <v>49.76</v>
      </c>
      <c r="F46" s="222" t="s">
        <v>2519</v>
      </c>
      <c r="G46" s="224">
        <v>12750</v>
      </c>
      <c r="H46" s="225">
        <v>7</v>
      </c>
      <c r="I46" s="224">
        <f t="shared" si="0"/>
        <v>1821.4285714285713</v>
      </c>
      <c r="J46" s="224">
        <v>77830</v>
      </c>
      <c r="K46" s="226">
        <f t="shared" si="12"/>
        <v>2.2077008032446656E-3</v>
      </c>
      <c r="L46" s="224">
        <f t="shared" si="2"/>
        <v>256.22990353697747</v>
      </c>
      <c r="M46" s="261"/>
    </row>
    <row r="47" spans="1:13" s="228" customFormat="1" x14ac:dyDescent="0.15">
      <c r="A47" s="221"/>
      <c r="B47" s="222" t="s">
        <v>265</v>
      </c>
      <c r="C47" s="223" t="s">
        <v>1686</v>
      </c>
      <c r="D47" s="223" t="s">
        <v>2561</v>
      </c>
      <c r="E47" s="224">
        <v>60</v>
      </c>
      <c r="F47" s="222" t="s">
        <v>2519</v>
      </c>
      <c r="G47" s="224">
        <v>18210</v>
      </c>
      <c r="H47" s="225">
        <v>14</v>
      </c>
      <c r="I47" s="224">
        <f t="shared" ref="I47" si="17">IF(OR(H47=0,G47=0),0,G47/H47)</f>
        <v>1300.7142857142858</v>
      </c>
      <c r="J47" s="224">
        <v>93450</v>
      </c>
      <c r="K47" s="226">
        <f t="shared" si="12"/>
        <v>3.1531162060459109E-3</v>
      </c>
      <c r="L47" s="224">
        <f t="shared" ref="L47" si="18">G47/E47</f>
        <v>303.5</v>
      </c>
      <c r="M47" s="261"/>
    </row>
    <row r="48" spans="1:13" s="228" customFormat="1" x14ac:dyDescent="0.15">
      <c r="A48" s="221"/>
      <c r="B48" s="222" t="s">
        <v>265</v>
      </c>
      <c r="C48" s="223" t="s">
        <v>1014</v>
      </c>
      <c r="D48" s="222" t="s">
        <v>2562</v>
      </c>
      <c r="E48" s="224">
        <v>75.680000000000007</v>
      </c>
      <c r="F48" s="222" t="s">
        <v>2521</v>
      </c>
      <c r="G48" s="224">
        <v>8600</v>
      </c>
      <c r="H48" s="225">
        <v>2</v>
      </c>
      <c r="I48" s="224">
        <f t="shared" si="0"/>
        <v>4300</v>
      </c>
      <c r="J48" s="224">
        <v>61070</v>
      </c>
      <c r="K48" s="226">
        <f t="shared" si="12"/>
        <v>1.4891158359140492E-3</v>
      </c>
      <c r="L48" s="224">
        <f t="shared" si="2"/>
        <v>113.63636363636363</v>
      </c>
      <c r="M48" s="261"/>
    </row>
    <row r="49" spans="1:13" s="228" customFormat="1" x14ac:dyDescent="0.15">
      <c r="A49" s="221"/>
      <c r="B49" s="222" t="s">
        <v>265</v>
      </c>
      <c r="C49" s="223" t="s">
        <v>825</v>
      </c>
      <c r="D49" s="222" t="s">
        <v>2563</v>
      </c>
      <c r="E49" s="224">
        <v>81</v>
      </c>
      <c r="F49" s="222" t="s">
        <v>2515</v>
      </c>
      <c r="G49" s="224">
        <v>33835</v>
      </c>
      <c r="H49" s="225">
        <v>22</v>
      </c>
      <c r="I49" s="224">
        <f t="shared" si="0"/>
        <v>1537.9545454545455</v>
      </c>
      <c r="J49" s="224">
        <v>262625</v>
      </c>
      <c r="K49" s="226">
        <f t="shared" si="12"/>
        <v>5.8586318962967265E-3</v>
      </c>
      <c r="L49" s="224">
        <f t="shared" si="2"/>
        <v>417.71604938271605</v>
      </c>
      <c r="M49" s="261"/>
    </row>
    <row r="50" spans="1:13" s="228" customFormat="1" x14ac:dyDescent="0.15">
      <c r="A50" s="221"/>
      <c r="B50" s="222" t="s">
        <v>265</v>
      </c>
      <c r="C50" s="223" t="s">
        <v>1029</v>
      </c>
      <c r="D50" s="222" t="s">
        <v>2564</v>
      </c>
      <c r="E50" s="224">
        <v>2261.48</v>
      </c>
      <c r="F50" s="222" t="s">
        <v>2535</v>
      </c>
      <c r="G50" s="224">
        <v>81569</v>
      </c>
      <c r="H50" s="225">
        <v>399</v>
      </c>
      <c r="I50" s="224">
        <f t="shared" si="0"/>
        <v>204.43358395989975</v>
      </c>
      <c r="J50" s="224">
        <v>1123240</v>
      </c>
      <c r="K50" s="226">
        <f t="shared" si="12"/>
        <v>1.4123917397636403E-2</v>
      </c>
      <c r="L50" s="224">
        <f t="shared" si="2"/>
        <v>36.068857562304331</v>
      </c>
      <c r="M50" s="261"/>
    </row>
    <row r="51" spans="1:13" s="228" customFormat="1" x14ac:dyDescent="0.15">
      <c r="A51" s="221"/>
      <c r="B51" s="222" t="s">
        <v>265</v>
      </c>
      <c r="C51" s="223" t="s">
        <v>1074</v>
      </c>
      <c r="D51" s="222" t="s">
        <v>2358</v>
      </c>
      <c r="E51" s="224">
        <v>508</v>
      </c>
      <c r="F51" s="222" t="s">
        <v>2318</v>
      </c>
      <c r="G51" s="224">
        <v>10996</v>
      </c>
      <c r="H51" s="225">
        <v>29</v>
      </c>
      <c r="I51" s="224">
        <f t="shared" si="0"/>
        <v>379.17241379310343</v>
      </c>
      <c r="J51" s="224">
        <v>106118</v>
      </c>
      <c r="K51" s="226">
        <f t="shared" si="12"/>
        <v>1.9039904339198702E-3</v>
      </c>
      <c r="L51" s="224">
        <f t="shared" si="2"/>
        <v>21.645669291338582</v>
      </c>
      <c r="M51" s="261"/>
    </row>
    <row r="52" spans="1:13" s="228" customFormat="1" x14ac:dyDescent="0.15">
      <c r="A52" s="221"/>
      <c r="B52" s="222" t="s">
        <v>265</v>
      </c>
      <c r="C52" s="223" t="s">
        <v>364</v>
      </c>
      <c r="D52" s="223" t="s">
        <v>2565</v>
      </c>
      <c r="E52" s="224">
        <v>27</v>
      </c>
      <c r="F52" s="222" t="s">
        <v>2519</v>
      </c>
      <c r="G52" s="224"/>
      <c r="H52" s="225"/>
      <c r="I52" s="224">
        <f t="shared" si="0"/>
        <v>0</v>
      </c>
      <c r="J52" s="224"/>
      <c r="K52" s="226">
        <f t="shared" si="12"/>
        <v>0</v>
      </c>
      <c r="L52" s="224">
        <f t="shared" si="2"/>
        <v>0</v>
      </c>
      <c r="M52" s="261"/>
    </row>
    <row r="53" spans="1:13" s="228" customFormat="1" x14ac:dyDescent="0.15">
      <c r="A53" s="221"/>
      <c r="B53" s="222" t="s">
        <v>265</v>
      </c>
      <c r="C53" s="223" t="s">
        <v>699</v>
      </c>
      <c r="D53" s="222" t="s">
        <v>2566</v>
      </c>
      <c r="E53" s="224">
        <v>22</v>
      </c>
      <c r="F53" s="222" t="s">
        <v>2519</v>
      </c>
      <c r="G53" s="224"/>
      <c r="H53" s="225"/>
      <c r="I53" s="224">
        <f t="shared" si="0"/>
        <v>0</v>
      </c>
      <c r="J53" s="224"/>
      <c r="K53" s="226">
        <f t="shared" si="12"/>
        <v>0</v>
      </c>
      <c r="L53" s="224">
        <f t="shared" si="2"/>
        <v>0</v>
      </c>
      <c r="M53" s="261"/>
    </row>
    <row r="54" spans="1:13" s="228" customFormat="1" x14ac:dyDescent="0.15">
      <c r="A54" s="221"/>
      <c r="B54" s="222" t="s">
        <v>265</v>
      </c>
      <c r="C54" s="236" t="s">
        <v>549</v>
      </c>
      <c r="D54" s="223" t="s">
        <v>2567</v>
      </c>
      <c r="E54" s="224">
        <v>274.88</v>
      </c>
      <c r="F54" s="222" t="s">
        <v>2517</v>
      </c>
      <c r="G54" s="224">
        <v>5829</v>
      </c>
      <c r="H54" s="225">
        <v>117</v>
      </c>
      <c r="I54" s="224">
        <f t="shared" si="0"/>
        <v>49.820512820512818</v>
      </c>
      <c r="J54" s="224">
        <v>55235</v>
      </c>
      <c r="K54" s="226">
        <f t="shared" si="12"/>
        <v>1.0093088613422085E-3</v>
      </c>
      <c r="L54" s="224">
        <f t="shared" si="2"/>
        <v>21.205616996507569</v>
      </c>
      <c r="M54" s="261"/>
    </row>
    <row r="55" spans="1:13" s="228" customFormat="1" x14ac:dyDescent="0.15">
      <c r="A55" s="221"/>
      <c r="B55" s="222" t="s">
        <v>265</v>
      </c>
      <c r="C55" s="236" t="s">
        <v>1584</v>
      </c>
      <c r="D55" s="223" t="s">
        <v>2568</v>
      </c>
      <c r="E55" s="224">
        <v>21</v>
      </c>
      <c r="F55" s="222" t="s">
        <v>2569</v>
      </c>
      <c r="G55" s="224">
        <v>1170</v>
      </c>
      <c r="H55" s="225">
        <v>22</v>
      </c>
      <c r="I55" s="224">
        <f t="shared" si="0"/>
        <v>53.18181818181818</v>
      </c>
      <c r="J55" s="224">
        <v>8065</v>
      </c>
      <c r="K55" s="226">
        <f t="shared" si="12"/>
        <v>2.025890148859811E-4</v>
      </c>
      <c r="L55" s="224">
        <f t="shared" si="2"/>
        <v>55.714285714285715</v>
      </c>
      <c r="M55" s="261"/>
    </row>
    <row r="56" spans="1:13" s="228" customFormat="1" x14ac:dyDescent="0.15">
      <c r="A56" s="221"/>
      <c r="B56" s="222" t="s">
        <v>265</v>
      </c>
      <c r="C56" s="236" t="s">
        <v>1153</v>
      </c>
      <c r="D56" s="223" t="s">
        <v>2570</v>
      </c>
      <c r="E56" s="224">
        <v>608.08000000000004</v>
      </c>
      <c r="F56" s="222" t="s">
        <v>2548</v>
      </c>
      <c r="G56" s="224">
        <v>8066</v>
      </c>
      <c r="H56" s="225">
        <v>46</v>
      </c>
      <c r="I56" s="224">
        <f t="shared" ref="I56" si="19">IF(OR(H56=0,G56=0),0,G56/H56)</f>
        <v>175.34782608695653</v>
      </c>
      <c r="J56" s="224">
        <v>84111</v>
      </c>
      <c r="K56" s="226">
        <f t="shared" si="12"/>
        <v>1.3966521316840371E-3</v>
      </c>
      <c r="L56" s="224">
        <f t="shared" ref="L56" si="20">G56/E56</f>
        <v>13.264702012893039</v>
      </c>
      <c r="M56" s="261"/>
    </row>
    <row r="57" spans="1:13" s="228" customFormat="1" x14ac:dyDescent="0.15">
      <c r="A57" s="284"/>
      <c r="B57" s="222" t="s">
        <v>1683</v>
      </c>
      <c r="C57" s="223" t="s">
        <v>1681</v>
      </c>
      <c r="D57" s="223" t="s">
        <v>2571</v>
      </c>
      <c r="E57" s="294">
        <v>440</v>
      </c>
      <c r="F57" s="222" t="s">
        <v>2521</v>
      </c>
      <c r="G57" s="224">
        <v>35000</v>
      </c>
      <c r="H57" s="225">
        <v>1</v>
      </c>
      <c r="I57" s="224">
        <f t="shared" ref="I57" si="21">IF(OR(H57=0,G57=0),0,G57/H57)</f>
        <v>35000</v>
      </c>
      <c r="J57" s="224">
        <v>350000</v>
      </c>
      <c r="K57" s="226">
        <f t="shared" si="12"/>
        <v>6.0603551461618273E-3</v>
      </c>
      <c r="L57" s="224">
        <f t="shared" ref="L57" si="22">G57/E57</f>
        <v>79.545454545454547</v>
      </c>
      <c r="M57" s="223"/>
    </row>
    <row r="58" spans="1:13" s="228" customFormat="1" x14ac:dyDescent="0.15">
      <c r="A58" s="230" t="s">
        <v>412</v>
      </c>
      <c r="B58" s="231"/>
      <c r="C58" s="231"/>
      <c r="D58" s="232"/>
      <c r="E58" s="233">
        <f>SUM(E9:E56)</f>
        <v>13250.5</v>
      </c>
      <c r="F58" s="232"/>
      <c r="G58" s="233">
        <f>SUM(G9:G57)</f>
        <v>1599242.5999999999</v>
      </c>
      <c r="H58" s="234">
        <f>SUM(H9:H56)</f>
        <v>4834</v>
      </c>
      <c r="I58" s="233">
        <f t="shared" si="0"/>
        <v>330.83214729002896</v>
      </c>
      <c r="J58" s="233">
        <f>SUM(J9:J56)</f>
        <v>14710225.84</v>
      </c>
      <c r="K58" s="235">
        <f t="shared" si="12"/>
        <v>0.27691366059632061</v>
      </c>
      <c r="L58" s="233">
        <f t="shared" si="2"/>
        <v>120.69300026414096</v>
      </c>
      <c r="M58" s="262"/>
    </row>
    <row r="59" spans="1:13" s="228" customFormat="1" x14ac:dyDescent="0.15">
      <c r="A59" s="221"/>
      <c r="B59" s="222" t="s">
        <v>266</v>
      </c>
      <c r="C59" s="229" t="s">
        <v>832</v>
      </c>
      <c r="D59" s="223" t="s">
        <v>2572</v>
      </c>
      <c r="E59" s="224">
        <v>108.21</v>
      </c>
      <c r="F59" s="222" t="s">
        <v>2535</v>
      </c>
      <c r="G59" s="224">
        <v>4920</v>
      </c>
      <c r="H59" s="225">
        <v>7</v>
      </c>
      <c r="I59" s="224">
        <f t="shared" si="0"/>
        <v>702.85714285714289</v>
      </c>
      <c r="J59" s="224">
        <v>96569</v>
      </c>
      <c r="K59" s="226">
        <f t="shared" si="12"/>
        <v>8.5191278054617687E-4</v>
      </c>
      <c r="L59" s="224">
        <f t="shared" si="2"/>
        <v>45.467147213751041</v>
      </c>
      <c r="M59" s="258"/>
    </row>
    <row r="60" spans="1:13" s="228" customFormat="1" x14ac:dyDescent="0.15">
      <c r="A60" s="221"/>
      <c r="B60" s="222" t="s">
        <v>856</v>
      </c>
      <c r="C60" s="229" t="s">
        <v>857</v>
      </c>
      <c r="D60" s="223" t="s">
        <v>2573</v>
      </c>
      <c r="E60" s="224">
        <v>124.35</v>
      </c>
      <c r="F60" s="222" t="s">
        <v>2535</v>
      </c>
      <c r="G60" s="224"/>
      <c r="H60" s="225"/>
      <c r="I60" s="224">
        <f t="shared" si="0"/>
        <v>0</v>
      </c>
      <c r="J60" s="224">
        <v>25389</v>
      </c>
      <c r="K60" s="226">
        <f t="shared" si="12"/>
        <v>0</v>
      </c>
      <c r="L60" s="224">
        <f t="shared" si="2"/>
        <v>0</v>
      </c>
      <c r="M60" s="258"/>
    </row>
    <row r="61" spans="1:13" s="228" customFormat="1" x14ac:dyDescent="0.15">
      <c r="A61" s="221"/>
      <c r="B61" s="222" t="s">
        <v>266</v>
      </c>
      <c r="C61" s="229" t="s">
        <v>860</v>
      </c>
      <c r="D61" s="223" t="s">
        <v>2574</v>
      </c>
      <c r="E61" s="224">
        <v>137.86000000000001</v>
      </c>
      <c r="F61" s="222" t="s">
        <v>2521</v>
      </c>
      <c r="G61" s="224">
        <v>29682</v>
      </c>
      <c r="H61" s="225">
        <v>8</v>
      </c>
      <c r="I61" s="224">
        <f t="shared" si="0"/>
        <v>3710.25</v>
      </c>
      <c r="J61" s="224">
        <v>93954</v>
      </c>
      <c r="K61" s="226">
        <f t="shared" si="12"/>
        <v>5.1395274699535818E-3</v>
      </c>
      <c r="L61" s="224">
        <f t="shared" si="2"/>
        <v>215.30538227187</v>
      </c>
      <c r="M61" s="258"/>
    </row>
    <row r="62" spans="1:13" s="228" customFormat="1" x14ac:dyDescent="0.15">
      <c r="A62" s="221"/>
      <c r="B62" s="222" t="s">
        <v>266</v>
      </c>
      <c r="C62" s="229" t="s">
        <v>762</v>
      </c>
      <c r="D62" s="223" t="s">
        <v>2575</v>
      </c>
      <c r="E62" s="224">
        <v>93.11</v>
      </c>
      <c r="F62" s="222" t="s">
        <v>2535</v>
      </c>
      <c r="G62" s="224">
        <v>8638</v>
      </c>
      <c r="H62" s="225">
        <v>4</v>
      </c>
      <c r="I62" s="224">
        <f t="shared" ref="I62:I126" si="23">IF(OR(H62=0,G62=0),0,G62/H62)</f>
        <v>2159.5</v>
      </c>
      <c r="J62" s="224">
        <v>23986</v>
      </c>
      <c r="K62" s="226">
        <f t="shared" si="12"/>
        <v>1.4956956500727391E-3</v>
      </c>
      <c r="L62" s="224">
        <f t="shared" ref="L62:L126" si="24">G62/E62</f>
        <v>92.771990119213839</v>
      </c>
      <c r="M62" s="258"/>
    </row>
    <row r="63" spans="1:13" s="228" customFormat="1" x14ac:dyDescent="0.15">
      <c r="A63" s="221"/>
      <c r="B63" s="222" t="s">
        <v>266</v>
      </c>
      <c r="C63" s="229" t="s">
        <v>898</v>
      </c>
      <c r="D63" s="223" t="s">
        <v>2576</v>
      </c>
      <c r="E63" s="224">
        <v>309.69</v>
      </c>
      <c r="F63" s="222" t="s">
        <v>2535</v>
      </c>
      <c r="G63" s="224">
        <v>15594</v>
      </c>
      <c r="H63" s="225">
        <v>7</v>
      </c>
      <c r="I63" s="224">
        <f t="shared" si="23"/>
        <v>2227.7142857142858</v>
      </c>
      <c r="J63" s="224">
        <v>124138</v>
      </c>
      <c r="K63" s="226">
        <f t="shared" si="12"/>
        <v>2.7001479471213583E-3</v>
      </c>
      <c r="L63" s="224">
        <f t="shared" si="24"/>
        <v>50.353579385837449</v>
      </c>
      <c r="M63" s="258"/>
    </row>
    <row r="64" spans="1:13" s="228" customFormat="1" x14ac:dyDescent="0.15">
      <c r="A64" s="221"/>
      <c r="B64" s="222" t="s">
        <v>424</v>
      </c>
      <c r="C64" s="229" t="s">
        <v>425</v>
      </c>
      <c r="D64" s="223" t="s">
        <v>2577</v>
      </c>
      <c r="E64" s="224">
        <v>90</v>
      </c>
      <c r="F64" s="222" t="s">
        <v>2557</v>
      </c>
      <c r="G64" s="224">
        <v>16595</v>
      </c>
      <c r="H64" s="225">
        <v>7</v>
      </c>
      <c r="I64" s="224">
        <f t="shared" si="23"/>
        <v>2370.7142857142858</v>
      </c>
      <c r="J64" s="224">
        <v>88837</v>
      </c>
      <c r="K64" s="226">
        <f t="shared" si="12"/>
        <v>2.8734741043015865E-3</v>
      </c>
      <c r="L64" s="224">
        <f t="shared" si="24"/>
        <v>184.38888888888889</v>
      </c>
      <c r="M64" s="261"/>
    </row>
    <row r="65" spans="1:13" s="228" customFormat="1" x14ac:dyDescent="0.15">
      <c r="A65" s="221"/>
      <c r="B65" s="222" t="s">
        <v>266</v>
      </c>
      <c r="C65" s="229" t="s">
        <v>680</v>
      </c>
      <c r="D65" s="223" t="s">
        <v>2578</v>
      </c>
      <c r="E65" s="224">
        <v>59</v>
      </c>
      <c r="F65" s="222" t="s">
        <v>2557</v>
      </c>
      <c r="G65" s="224">
        <v>5625</v>
      </c>
      <c r="H65" s="225">
        <v>8</v>
      </c>
      <c r="I65" s="224">
        <f t="shared" si="23"/>
        <v>703.125</v>
      </c>
      <c r="J65" s="224">
        <v>58643</v>
      </c>
      <c r="K65" s="226">
        <f t="shared" si="12"/>
        <v>9.7398564849029371E-4</v>
      </c>
      <c r="L65" s="224">
        <f t="shared" si="24"/>
        <v>95.33898305084746</v>
      </c>
      <c r="M65" s="258"/>
    </row>
    <row r="66" spans="1:13" s="228" customFormat="1" x14ac:dyDescent="0.15">
      <c r="A66" s="221"/>
      <c r="B66" s="222" t="s">
        <v>266</v>
      </c>
      <c r="C66" s="229" t="s">
        <v>676</v>
      </c>
      <c r="D66" s="223" t="s">
        <v>2579</v>
      </c>
      <c r="E66" s="224">
        <v>80</v>
      </c>
      <c r="F66" s="222" t="s">
        <v>2521</v>
      </c>
      <c r="G66" s="224">
        <v>3561</v>
      </c>
      <c r="H66" s="225">
        <v>2</v>
      </c>
      <c r="I66" s="224">
        <f t="shared" si="23"/>
        <v>1780.5</v>
      </c>
      <c r="J66" s="224">
        <v>39301.199999999997</v>
      </c>
      <c r="K66" s="226">
        <f t="shared" si="12"/>
        <v>6.16597847870922E-4</v>
      </c>
      <c r="L66" s="224">
        <f t="shared" si="24"/>
        <v>44.512500000000003</v>
      </c>
      <c r="M66" s="258"/>
    </row>
    <row r="67" spans="1:13" s="228" customFormat="1" x14ac:dyDescent="0.15">
      <c r="A67" s="221"/>
      <c r="B67" s="222" t="s">
        <v>266</v>
      </c>
      <c r="C67" s="229" t="s">
        <v>1836</v>
      </c>
      <c r="D67" s="223" t="s">
        <v>2580</v>
      </c>
      <c r="E67" s="224">
        <v>72</v>
      </c>
      <c r="F67" s="222" t="s">
        <v>2521</v>
      </c>
      <c r="G67" s="224">
        <v>3518</v>
      </c>
      <c r="H67" s="225">
        <v>2</v>
      </c>
      <c r="I67" s="224">
        <f t="shared" ref="I67" si="25">IF(OR(H67=0,G67=0),0,G67/H67)</f>
        <v>1759</v>
      </c>
      <c r="J67" s="224">
        <v>42143</v>
      </c>
      <c r="K67" s="226">
        <f t="shared" ref="K67:K98" si="26">G67/$G$527</f>
        <v>6.0915226869135168E-4</v>
      </c>
      <c r="L67" s="224">
        <f t="shared" ref="L67" si="27">G67/E67</f>
        <v>48.861111111111114</v>
      </c>
      <c r="M67" s="258"/>
    </row>
    <row r="68" spans="1:13" s="228" customFormat="1" x14ac:dyDescent="0.15">
      <c r="A68" s="221"/>
      <c r="B68" s="222" t="s">
        <v>424</v>
      </c>
      <c r="C68" s="223" t="s">
        <v>1888</v>
      </c>
      <c r="D68" s="223" t="s">
        <v>2581</v>
      </c>
      <c r="E68" s="224">
        <v>86.42</v>
      </c>
      <c r="F68" s="222" t="s">
        <v>2521</v>
      </c>
      <c r="G68" s="224">
        <v>3829</v>
      </c>
      <c r="H68" s="225">
        <v>3</v>
      </c>
      <c r="I68" s="224">
        <f t="shared" si="23"/>
        <v>1276.3333333333333</v>
      </c>
      <c r="J68" s="224">
        <v>66833</v>
      </c>
      <c r="K68" s="226">
        <f t="shared" si="26"/>
        <v>6.63002852990104E-4</v>
      </c>
      <c r="L68" s="224">
        <f t="shared" si="24"/>
        <v>44.306873408933114</v>
      </c>
      <c r="M68" s="258"/>
    </row>
    <row r="69" spans="1:13" s="228" customFormat="1" x14ac:dyDescent="0.15">
      <c r="A69" s="221"/>
      <c r="B69" s="222" t="s">
        <v>424</v>
      </c>
      <c r="C69" s="223" t="s">
        <v>588</v>
      </c>
      <c r="D69" s="222" t="s">
        <v>2582</v>
      </c>
      <c r="E69" s="224">
        <v>122.47</v>
      </c>
      <c r="F69" s="222" t="s">
        <v>2521</v>
      </c>
      <c r="G69" s="224">
        <v>15933</v>
      </c>
      <c r="H69" s="225">
        <v>16</v>
      </c>
      <c r="I69" s="224">
        <f t="shared" si="23"/>
        <v>995.8125</v>
      </c>
      <c r="J69" s="224">
        <v>196489</v>
      </c>
      <c r="K69" s="226">
        <f t="shared" si="26"/>
        <v>2.7588468155370399E-3</v>
      </c>
      <c r="L69" s="224">
        <f t="shared" si="24"/>
        <v>130.09716665305788</v>
      </c>
      <c r="M69" s="258"/>
    </row>
    <row r="70" spans="1:13" s="228" customFormat="1" x14ac:dyDescent="0.15">
      <c r="A70" s="221"/>
      <c r="B70" s="222" t="s">
        <v>266</v>
      </c>
      <c r="C70" s="223" t="s">
        <v>1055</v>
      </c>
      <c r="D70" s="222" t="s">
        <v>2583</v>
      </c>
      <c r="E70" s="224">
        <v>85</v>
      </c>
      <c r="F70" s="222" t="s">
        <v>2521</v>
      </c>
      <c r="G70" s="224">
        <v>3243</v>
      </c>
      <c r="H70" s="225">
        <v>6</v>
      </c>
      <c r="I70" s="224">
        <f t="shared" si="23"/>
        <v>540.5</v>
      </c>
      <c r="J70" s="224">
        <v>23971</v>
      </c>
      <c r="K70" s="226">
        <f t="shared" si="26"/>
        <v>5.6153519254293737E-4</v>
      </c>
      <c r="L70" s="224">
        <f t="shared" si="24"/>
        <v>38.152941176470591</v>
      </c>
      <c r="M70" s="258"/>
    </row>
    <row r="71" spans="1:13" s="228" customFormat="1" x14ac:dyDescent="0.15">
      <c r="A71" s="221"/>
      <c r="B71" s="222" t="s">
        <v>266</v>
      </c>
      <c r="C71" s="223" t="s">
        <v>1046</v>
      </c>
      <c r="D71" s="222" t="s">
        <v>2584</v>
      </c>
      <c r="E71" s="224">
        <v>95</v>
      </c>
      <c r="F71" s="222" t="s">
        <v>2521</v>
      </c>
      <c r="G71" s="224">
        <v>6024</v>
      </c>
      <c r="H71" s="225">
        <v>2</v>
      </c>
      <c r="I71" s="224">
        <f t="shared" si="23"/>
        <v>3012</v>
      </c>
      <c r="J71" s="224">
        <v>91554</v>
      </c>
      <c r="K71" s="226">
        <f t="shared" si="26"/>
        <v>1.0430736971565385E-3</v>
      </c>
      <c r="L71" s="224">
        <f t="shared" si="24"/>
        <v>63.410526315789475</v>
      </c>
      <c r="M71" s="258"/>
    </row>
    <row r="72" spans="1:13" s="228" customFormat="1" x14ac:dyDescent="0.15">
      <c r="A72" s="221"/>
      <c r="B72" s="222" t="s">
        <v>266</v>
      </c>
      <c r="C72" s="223" t="s">
        <v>1897</v>
      </c>
      <c r="D72" s="222" t="s">
        <v>2585</v>
      </c>
      <c r="E72" s="224">
        <v>179</v>
      </c>
      <c r="F72" s="222" t="s">
        <v>2521</v>
      </c>
      <c r="G72" s="224">
        <v>12472.3</v>
      </c>
      <c r="H72" s="225">
        <v>13</v>
      </c>
      <c r="I72" s="224">
        <f t="shared" ref="I72:I73" si="28">IF(OR(H72=0,G72=0),0,G72/H72)</f>
        <v>959.40769230769229</v>
      </c>
      <c r="J72" s="224">
        <v>97509.8</v>
      </c>
      <c r="K72" s="226">
        <f t="shared" si="26"/>
        <v>2.1596162139849761E-3</v>
      </c>
      <c r="L72" s="224">
        <f t="shared" ref="L72:L73" si="29">G72/E72</f>
        <v>69.677653631284912</v>
      </c>
      <c r="M72" s="258"/>
    </row>
    <row r="73" spans="1:13" s="228" customFormat="1" x14ac:dyDescent="0.15">
      <c r="A73" s="221"/>
      <c r="B73" s="222" t="s">
        <v>266</v>
      </c>
      <c r="C73" s="223" t="s">
        <v>1892</v>
      </c>
      <c r="D73" s="222" t="s">
        <v>2586</v>
      </c>
      <c r="E73" s="224">
        <v>153</v>
      </c>
      <c r="F73" s="222" t="s">
        <v>2521</v>
      </c>
      <c r="G73" s="224">
        <v>3058.3</v>
      </c>
      <c r="H73" s="225">
        <v>8</v>
      </c>
      <c r="I73" s="224">
        <f t="shared" si="28"/>
        <v>382.28750000000002</v>
      </c>
      <c r="J73" s="224">
        <v>54953.5</v>
      </c>
      <c r="K73" s="226">
        <f t="shared" si="26"/>
        <v>5.2955383267162055E-4</v>
      </c>
      <c r="L73" s="224">
        <f t="shared" si="29"/>
        <v>19.988888888888891</v>
      </c>
      <c r="M73" s="258"/>
    </row>
    <row r="74" spans="1:13" s="228" customFormat="1" x14ac:dyDescent="0.15">
      <c r="A74" s="221"/>
      <c r="B74" s="222" t="s">
        <v>266</v>
      </c>
      <c r="C74" s="223" t="s">
        <v>1864</v>
      </c>
      <c r="D74" s="222" t="s">
        <v>2587</v>
      </c>
      <c r="E74" s="224">
        <v>97</v>
      </c>
      <c r="F74" s="222" t="s">
        <v>2521</v>
      </c>
      <c r="G74" s="224">
        <v>14714</v>
      </c>
      <c r="H74" s="225">
        <v>5</v>
      </c>
      <c r="I74" s="224">
        <f t="shared" ref="I74" si="30">IF(OR(H74=0,G74=0),0,G74/H74)</f>
        <v>2942.8</v>
      </c>
      <c r="J74" s="224">
        <v>94489</v>
      </c>
      <c r="K74" s="226">
        <f t="shared" si="26"/>
        <v>2.5477733034464322E-3</v>
      </c>
      <c r="L74" s="224">
        <f t="shared" ref="L74" si="31">G74/E74</f>
        <v>151.69072164948454</v>
      </c>
      <c r="M74" s="258"/>
    </row>
    <row r="75" spans="1:13" s="228" customFormat="1" x14ac:dyDescent="0.15">
      <c r="A75" s="221"/>
      <c r="B75" s="222" t="s">
        <v>266</v>
      </c>
      <c r="C75" s="223" t="s">
        <v>646</v>
      </c>
      <c r="D75" s="222" t="s">
        <v>2588</v>
      </c>
      <c r="E75" s="224">
        <v>100</v>
      </c>
      <c r="F75" s="222" t="s">
        <v>2521</v>
      </c>
      <c r="G75" s="224">
        <v>8565</v>
      </c>
      <c r="H75" s="225">
        <v>3</v>
      </c>
      <c r="I75" s="224">
        <f t="shared" si="23"/>
        <v>2855</v>
      </c>
      <c r="J75" s="224">
        <v>62510</v>
      </c>
      <c r="K75" s="226">
        <f t="shared" si="26"/>
        <v>1.4830554807678874E-3</v>
      </c>
      <c r="L75" s="224">
        <f t="shared" si="24"/>
        <v>85.65</v>
      </c>
      <c r="M75" s="261"/>
    </row>
    <row r="76" spans="1:13" s="228" customFormat="1" x14ac:dyDescent="0.15">
      <c r="A76" s="221"/>
      <c r="B76" s="222" t="s">
        <v>424</v>
      </c>
      <c r="C76" s="223" t="s">
        <v>426</v>
      </c>
      <c r="D76" s="223" t="s">
        <v>2589</v>
      </c>
      <c r="E76" s="224">
        <v>169.64</v>
      </c>
      <c r="F76" s="222" t="s">
        <v>2535</v>
      </c>
      <c r="G76" s="224">
        <v>2540</v>
      </c>
      <c r="H76" s="225">
        <v>2</v>
      </c>
      <c r="I76" s="224">
        <f t="shared" si="23"/>
        <v>1270</v>
      </c>
      <c r="J76" s="224">
        <v>62350</v>
      </c>
      <c r="K76" s="226">
        <f t="shared" si="26"/>
        <v>4.3980863060717263E-4</v>
      </c>
      <c r="L76" s="224">
        <f t="shared" si="24"/>
        <v>14.972883753831645</v>
      </c>
      <c r="M76" s="261"/>
    </row>
    <row r="77" spans="1:13" s="228" customFormat="1" x14ac:dyDescent="0.15">
      <c r="A77" s="221"/>
      <c r="B77" s="222" t="s">
        <v>424</v>
      </c>
      <c r="C77" s="223" t="s">
        <v>746</v>
      </c>
      <c r="D77" s="223" t="s">
        <v>2590</v>
      </c>
      <c r="E77" s="224">
        <v>140.63999999999999</v>
      </c>
      <c r="F77" s="222" t="s">
        <v>2521</v>
      </c>
      <c r="G77" s="224">
        <v>7492</v>
      </c>
      <c r="H77" s="225">
        <v>4</v>
      </c>
      <c r="I77" s="224">
        <f t="shared" si="23"/>
        <v>1873</v>
      </c>
      <c r="J77" s="224">
        <v>53795</v>
      </c>
      <c r="K77" s="226">
        <f t="shared" si="26"/>
        <v>1.2972623072869832E-3</v>
      </c>
      <c r="L77" s="224">
        <f t="shared" si="24"/>
        <v>53.270762229806607</v>
      </c>
      <c r="M77" s="261"/>
    </row>
    <row r="78" spans="1:13" s="228" customFormat="1" x14ac:dyDescent="0.15">
      <c r="A78" s="221"/>
      <c r="B78" s="222" t="s">
        <v>266</v>
      </c>
      <c r="C78" s="223" t="s">
        <v>1614</v>
      </c>
      <c r="D78" s="223" t="s">
        <v>2591</v>
      </c>
      <c r="E78" s="224">
        <v>85.68</v>
      </c>
      <c r="F78" s="222" t="s">
        <v>2521</v>
      </c>
      <c r="G78" s="224">
        <v>1390</v>
      </c>
      <c r="H78" s="225">
        <v>1</v>
      </c>
      <c r="I78" s="224">
        <f t="shared" ref="I78" si="32">IF(OR(H78=0,G78=0),0,G78/H78)</f>
        <v>1390</v>
      </c>
      <c r="J78" s="224">
        <v>9402</v>
      </c>
      <c r="K78" s="226">
        <f t="shared" si="26"/>
        <v>2.4068267580471258E-4</v>
      </c>
      <c r="L78" s="224">
        <f t="shared" ref="L78" si="33">G78/E78</f>
        <v>16.223155929038281</v>
      </c>
      <c r="M78" s="261"/>
    </row>
    <row r="79" spans="1:13" s="228" customFormat="1" x14ac:dyDescent="0.15">
      <c r="A79" s="221"/>
      <c r="B79" s="222" t="s">
        <v>266</v>
      </c>
      <c r="C79" s="223" t="s">
        <v>576</v>
      </c>
      <c r="D79" s="223" t="s">
        <v>2592</v>
      </c>
      <c r="E79" s="224">
        <v>137</v>
      </c>
      <c r="F79" s="222" t="s">
        <v>2521</v>
      </c>
      <c r="G79" s="224">
        <v>16332</v>
      </c>
      <c r="H79" s="225">
        <v>3</v>
      </c>
      <c r="I79" s="224">
        <f t="shared" si="23"/>
        <v>5444</v>
      </c>
      <c r="J79" s="224">
        <v>77024</v>
      </c>
      <c r="K79" s="226">
        <f t="shared" si="26"/>
        <v>2.8279348642032847E-3</v>
      </c>
      <c r="L79" s="224">
        <f t="shared" si="24"/>
        <v>119.21167883211679</v>
      </c>
      <c r="M79" s="258"/>
    </row>
    <row r="80" spans="1:13" s="228" customFormat="1" x14ac:dyDescent="0.15">
      <c r="A80" s="221"/>
      <c r="B80" s="222" t="s">
        <v>266</v>
      </c>
      <c r="C80" s="223" t="s">
        <v>581</v>
      </c>
      <c r="D80" s="223" t="s">
        <v>2593</v>
      </c>
      <c r="E80" s="224">
        <v>105</v>
      </c>
      <c r="F80" s="222" t="s">
        <v>2521</v>
      </c>
      <c r="G80" s="224">
        <v>1683</v>
      </c>
      <c r="H80" s="225">
        <v>1</v>
      </c>
      <c r="I80" s="224">
        <f t="shared" si="23"/>
        <v>1683</v>
      </c>
      <c r="J80" s="224">
        <v>36988</v>
      </c>
      <c r="K80" s="226">
        <f t="shared" si="26"/>
        <v>2.9141650602829589E-4</v>
      </c>
      <c r="L80" s="224">
        <f t="shared" si="24"/>
        <v>16.028571428571428</v>
      </c>
      <c r="M80" s="258"/>
    </row>
    <row r="81" spans="1:13" s="228" customFormat="1" x14ac:dyDescent="0.15">
      <c r="A81" s="221"/>
      <c r="B81" s="222" t="s">
        <v>424</v>
      </c>
      <c r="C81" s="223" t="s">
        <v>427</v>
      </c>
      <c r="D81" s="223" t="s">
        <v>2594</v>
      </c>
      <c r="E81" s="224">
        <v>108.56</v>
      </c>
      <c r="F81" s="222" t="s">
        <v>2521</v>
      </c>
      <c r="G81" s="224">
        <v>6131</v>
      </c>
      <c r="H81" s="225">
        <v>7</v>
      </c>
      <c r="I81" s="224">
        <f t="shared" si="23"/>
        <v>875.85714285714289</v>
      </c>
      <c r="J81" s="224">
        <v>47501</v>
      </c>
      <c r="K81" s="226">
        <f t="shared" si="26"/>
        <v>1.0616010686033761E-3</v>
      </c>
      <c r="L81" s="224">
        <f t="shared" si="24"/>
        <v>56.475681650700075</v>
      </c>
      <c r="M81" s="258"/>
    </row>
    <row r="82" spans="1:13" s="228" customFormat="1" x14ac:dyDescent="0.15">
      <c r="A82" s="221"/>
      <c r="B82" s="222" t="s">
        <v>424</v>
      </c>
      <c r="C82" s="223" t="s">
        <v>428</v>
      </c>
      <c r="D82" s="223" t="s">
        <v>2595</v>
      </c>
      <c r="E82" s="224">
        <v>72.55</v>
      </c>
      <c r="F82" s="222" t="s">
        <v>2521</v>
      </c>
      <c r="G82" s="224">
        <v>1889</v>
      </c>
      <c r="H82" s="225">
        <v>1</v>
      </c>
      <c r="I82" s="224">
        <f t="shared" si="23"/>
        <v>1889</v>
      </c>
      <c r="J82" s="224">
        <v>75552</v>
      </c>
      <c r="K82" s="226">
        <f t="shared" si="26"/>
        <v>3.2708602488856265E-4</v>
      </c>
      <c r="L82" s="224">
        <f t="shared" si="24"/>
        <v>26.037215713301173</v>
      </c>
      <c r="M82" s="258"/>
    </row>
    <row r="83" spans="1:13" s="228" customFormat="1" x14ac:dyDescent="0.15">
      <c r="A83" s="221"/>
      <c r="B83" s="222" t="s">
        <v>266</v>
      </c>
      <c r="C83" s="223" t="s">
        <v>562</v>
      </c>
      <c r="D83" s="223" t="s">
        <v>2596</v>
      </c>
      <c r="E83" s="224">
        <v>78</v>
      </c>
      <c r="F83" s="222" t="s">
        <v>2597</v>
      </c>
      <c r="G83" s="224"/>
      <c r="H83" s="225"/>
      <c r="I83" s="224">
        <f t="shared" ref="I83" si="34">IF(OR(H83=0,G83=0),0,G83/H83)</f>
        <v>0</v>
      </c>
      <c r="J83" s="224"/>
      <c r="K83" s="226">
        <f t="shared" si="26"/>
        <v>0</v>
      </c>
      <c r="L83" s="224">
        <f t="shared" ref="L83" si="35">G83/E83</f>
        <v>0</v>
      </c>
      <c r="M83" s="258"/>
    </row>
    <row r="84" spans="1:13" s="228" customFormat="1" x14ac:dyDescent="0.15">
      <c r="A84" s="221"/>
      <c r="B84" s="222" t="s">
        <v>424</v>
      </c>
      <c r="C84" s="223" t="s">
        <v>1877</v>
      </c>
      <c r="D84" s="222" t="s">
        <v>2598</v>
      </c>
      <c r="E84" s="224">
        <v>78</v>
      </c>
      <c r="F84" s="222" t="s">
        <v>2521</v>
      </c>
      <c r="G84" s="224">
        <v>6361</v>
      </c>
      <c r="H84" s="225">
        <v>3</v>
      </c>
      <c r="I84" s="224">
        <f t="shared" si="23"/>
        <v>2120.3333333333335</v>
      </c>
      <c r="J84" s="224">
        <v>103560</v>
      </c>
      <c r="K84" s="226">
        <f t="shared" si="26"/>
        <v>1.1014262595638682E-3</v>
      </c>
      <c r="L84" s="224">
        <f t="shared" si="24"/>
        <v>81.551282051282058</v>
      </c>
      <c r="M84" s="258"/>
    </row>
    <row r="85" spans="1:13" s="228" customFormat="1" x14ac:dyDescent="0.15">
      <c r="A85" s="221"/>
      <c r="B85" s="222" t="s">
        <v>266</v>
      </c>
      <c r="C85" s="223" t="s">
        <v>570</v>
      </c>
      <c r="D85" s="222" t="s">
        <v>2599</v>
      </c>
      <c r="E85" s="224">
        <v>81</v>
      </c>
      <c r="F85" s="222" t="s">
        <v>2557</v>
      </c>
      <c r="G85" s="224">
        <v>5856</v>
      </c>
      <c r="H85" s="225">
        <v>12</v>
      </c>
      <c r="I85" s="224">
        <f t="shared" si="23"/>
        <v>488</v>
      </c>
      <c r="J85" s="224">
        <v>84962</v>
      </c>
      <c r="K85" s="226">
        <f t="shared" si="26"/>
        <v>1.0139839924549617E-3</v>
      </c>
      <c r="L85" s="224">
        <f t="shared" si="24"/>
        <v>72.296296296296291</v>
      </c>
      <c r="M85" s="258"/>
    </row>
    <row r="86" spans="1:13" s="228" customFormat="1" x14ac:dyDescent="0.15">
      <c r="A86" s="221"/>
      <c r="B86" s="222" t="s">
        <v>266</v>
      </c>
      <c r="C86" s="223" t="s">
        <v>1885</v>
      </c>
      <c r="D86" s="222" t="s">
        <v>2600</v>
      </c>
      <c r="E86" s="224">
        <v>343</v>
      </c>
      <c r="F86" s="222" t="s">
        <v>2521</v>
      </c>
      <c r="G86" s="224">
        <v>24098.2</v>
      </c>
      <c r="H86" s="225">
        <v>20</v>
      </c>
      <c r="I86" s="224">
        <f t="shared" ref="I86" si="36">IF(OR(H86=0,G86=0),0,G86/H86)</f>
        <v>1204.9100000000001</v>
      </c>
      <c r="J86" s="224">
        <v>270513.60000000003</v>
      </c>
      <c r="K86" s="226">
        <f t="shared" si="26"/>
        <v>4.1726757252353421E-3</v>
      </c>
      <c r="L86" s="224">
        <f t="shared" ref="L86" si="37">G86/E86</f>
        <v>70.257142857142853</v>
      </c>
      <c r="M86" s="258"/>
    </row>
    <row r="87" spans="1:13" s="228" customFormat="1" x14ac:dyDescent="0.15">
      <c r="A87" s="221"/>
      <c r="B87" s="222" t="s">
        <v>266</v>
      </c>
      <c r="C87" s="223" t="s">
        <v>829</v>
      </c>
      <c r="D87" s="222" t="s">
        <v>2601</v>
      </c>
      <c r="E87" s="224">
        <v>343</v>
      </c>
      <c r="F87" s="222" t="s">
        <v>2521</v>
      </c>
      <c r="G87" s="224">
        <v>12338</v>
      </c>
      <c r="H87" s="225">
        <v>18</v>
      </c>
      <c r="I87" s="224">
        <f t="shared" si="23"/>
        <v>685.44444444444446</v>
      </c>
      <c r="J87" s="224">
        <v>169532.5</v>
      </c>
      <c r="K87" s="226">
        <f t="shared" si="26"/>
        <v>2.1363617655241322E-3</v>
      </c>
      <c r="L87" s="224">
        <f t="shared" si="24"/>
        <v>35.970845481049565</v>
      </c>
      <c r="M87" s="258"/>
    </row>
    <row r="88" spans="1:13" s="237" customFormat="1" x14ac:dyDescent="0.15">
      <c r="A88" s="221"/>
      <c r="B88" s="222" t="s">
        <v>266</v>
      </c>
      <c r="C88" s="223" t="s">
        <v>823</v>
      </c>
      <c r="D88" s="223" t="s">
        <v>2602</v>
      </c>
      <c r="E88" s="224">
        <v>118.72</v>
      </c>
      <c r="F88" s="222" t="s">
        <v>2521</v>
      </c>
      <c r="G88" s="224">
        <v>1180</v>
      </c>
      <c r="H88" s="225">
        <v>1</v>
      </c>
      <c r="I88" s="224">
        <f t="shared" si="23"/>
        <v>1180</v>
      </c>
      <c r="J88" s="224">
        <v>34426</v>
      </c>
      <c r="K88" s="226">
        <f t="shared" si="26"/>
        <v>2.0432054492774162E-4</v>
      </c>
      <c r="L88" s="224">
        <f t="shared" si="24"/>
        <v>9.9393530997304591</v>
      </c>
      <c r="M88" s="258"/>
    </row>
    <row r="89" spans="1:13" s="237" customFormat="1" x14ac:dyDescent="0.15">
      <c r="A89" s="221"/>
      <c r="B89" s="222" t="s">
        <v>266</v>
      </c>
      <c r="C89" s="223" t="s">
        <v>1062</v>
      </c>
      <c r="D89" s="222" t="s">
        <v>2603</v>
      </c>
      <c r="E89" s="224">
        <v>51.3</v>
      </c>
      <c r="F89" s="222" t="s">
        <v>2521</v>
      </c>
      <c r="G89" s="224">
        <v>8486</v>
      </c>
      <c r="H89" s="225">
        <v>8</v>
      </c>
      <c r="I89" s="224">
        <f t="shared" si="23"/>
        <v>1060.75</v>
      </c>
      <c r="J89" s="224">
        <v>84040</v>
      </c>
      <c r="K89" s="226">
        <f t="shared" si="26"/>
        <v>1.4693763934379791E-3</v>
      </c>
      <c r="L89" s="224">
        <f t="shared" si="24"/>
        <v>165.41910331384017</v>
      </c>
      <c r="M89" s="258"/>
    </row>
    <row r="90" spans="1:13" s="237" customFormat="1" x14ac:dyDescent="0.15">
      <c r="A90" s="221"/>
      <c r="B90" s="222" t="s">
        <v>266</v>
      </c>
      <c r="C90" s="223" t="s">
        <v>1071</v>
      </c>
      <c r="D90" s="222" t="s">
        <v>2604</v>
      </c>
      <c r="E90" s="224">
        <v>118.83</v>
      </c>
      <c r="F90" s="222" t="s">
        <v>2535</v>
      </c>
      <c r="G90" s="224">
        <v>31471</v>
      </c>
      <c r="H90" s="225">
        <v>15</v>
      </c>
      <c r="I90" s="224">
        <f t="shared" si="23"/>
        <v>2098.0666666666666</v>
      </c>
      <c r="J90" s="224">
        <v>148747</v>
      </c>
      <c r="K90" s="226">
        <f t="shared" si="26"/>
        <v>5.4492981944245398E-3</v>
      </c>
      <c r="L90" s="224">
        <f t="shared" si="24"/>
        <v>264.84052848607257</v>
      </c>
      <c r="M90" s="258"/>
    </row>
    <row r="91" spans="1:13" s="238" customFormat="1" x14ac:dyDescent="0.15">
      <c r="A91" s="221"/>
      <c r="B91" s="222" t="s">
        <v>424</v>
      </c>
      <c r="C91" s="223" t="s">
        <v>429</v>
      </c>
      <c r="D91" s="223" t="s">
        <v>2605</v>
      </c>
      <c r="E91" s="224">
        <v>114.8</v>
      </c>
      <c r="F91" s="222" t="s">
        <v>2548</v>
      </c>
      <c r="G91" s="224">
        <v>6021</v>
      </c>
      <c r="H91" s="225">
        <v>120</v>
      </c>
      <c r="I91" s="224">
        <f t="shared" si="23"/>
        <v>50.174999999999997</v>
      </c>
      <c r="J91" s="224">
        <v>62806</v>
      </c>
      <c r="K91" s="226">
        <f t="shared" si="26"/>
        <v>1.0425542381440104E-3</v>
      </c>
      <c r="L91" s="224">
        <f t="shared" si="24"/>
        <v>52.447735191637634</v>
      </c>
      <c r="M91" s="261"/>
    </row>
    <row r="92" spans="1:13" s="238" customFormat="1" x14ac:dyDescent="0.15">
      <c r="A92" s="221"/>
      <c r="B92" s="222" t="s">
        <v>424</v>
      </c>
      <c r="C92" s="223" t="s">
        <v>791</v>
      </c>
      <c r="D92" s="223" t="s">
        <v>2606</v>
      </c>
      <c r="E92" s="224">
        <v>178.06</v>
      </c>
      <c r="F92" s="222" t="s">
        <v>2535</v>
      </c>
      <c r="G92" s="224">
        <v>4598</v>
      </c>
      <c r="H92" s="225">
        <v>2</v>
      </c>
      <c r="I92" s="224">
        <f t="shared" si="23"/>
        <v>2299</v>
      </c>
      <c r="J92" s="224">
        <v>127505</v>
      </c>
      <c r="K92" s="226">
        <f t="shared" si="26"/>
        <v>7.9615751320148806E-4</v>
      </c>
      <c r="L92" s="224">
        <f t="shared" si="24"/>
        <v>25.822756374255867</v>
      </c>
      <c r="M92" s="261"/>
    </row>
    <row r="93" spans="1:13" s="238" customFormat="1" x14ac:dyDescent="0.15">
      <c r="A93" s="221"/>
      <c r="B93" s="222" t="s">
        <v>266</v>
      </c>
      <c r="C93" s="223" t="s">
        <v>325</v>
      </c>
      <c r="D93" s="223" t="s">
        <v>2607</v>
      </c>
      <c r="E93" s="224">
        <v>115.41</v>
      </c>
      <c r="F93" s="222" t="s">
        <v>2521</v>
      </c>
      <c r="G93" s="224">
        <v>3602</v>
      </c>
      <c r="H93" s="225">
        <v>3</v>
      </c>
      <c r="I93" s="224">
        <f t="shared" si="23"/>
        <v>1200.6666666666667</v>
      </c>
      <c r="J93" s="224">
        <v>54731</v>
      </c>
      <c r="K93" s="226">
        <f t="shared" si="26"/>
        <v>6.2369712104214006E-4</v>
      </c>
      <c r="L93" s="224">
        <f t="shared" si="24"/>
        <v>31.210467030586607</v>
      </c>
      <c r="M93" s="258"/>
    </row>
    <row r="94" spans="1:13" s="238" customFormat="1" x14ac:dyDescent="0.15">
      <c r="A94" s="221"/>
      <c r="B94" s="222" t="s">
        <v>266</v>
      </c>
      <c r="C94" s="223" t="s">
        <v>1753</v>
      </c>
      <c r="D94" s="222" t="s">
        <v>2608</v>
      </c>
      <c r="E94" s="224">
        <v>112.69</v>
      </c>
      <c r="F94" s="222" t="s">
        <v>2521</v>
      </c>
      <c r="G94" s="224">
        <v>3409</v>
      </c>
      <c r="H94" s="225">
        <v>2</v>
      </c>
      <c r="I94" s="224">
        <f t="shared" ref="I94" si="38">IF(OR(H94=0,G94=0),0,G94/H94)</f>
        <v>1704.5</v>
      </c>
      <c r="J94" s="224">
        <v>32515</v>
      </c>
      <c r="K94" s="226">
        <f t="shared" si="26"/>
        <v>5.9027859123616199E-4</v>
      </c>
      <c r="L94" s="224">
        <f t="shared" ref="L94" si="39">G94/E94</f>
        <v>30.251131422486466</v>
      </c>
      <c r="M94" s="258"/>
    </row>
    <row r="95" spans="1:13" s="238" customFormat="1" x14ac:dyDescent="0.15">
      <c r="A95" s="221"/>
      <c r="B95" s="222" t="s">
        <v>266</v>
      </c>
      <c r="C95" s="223" t="s">
        <v>326</v>
      </c>
      <c r="D95" s="223" t="s">
        <v>2609</v>
      </c>
      <c r="E95" s="224">
        <v>59.89</v>
      </c>
      <c r="F95" s="222" t="s">
        <v>2521</v>
      </c>
      <c r="G95" s="224">
        <v>1349</v>
      </c>
      <c r="H95" s="225">
        <v>3</v>
      </c>
      <c r="I95" s="224">
        <f t="shared" si="23"/>
        <v>449.66666666666669</v>
      </c>
      <c r="J95" s="224">
        <v>28150</v>
      </c>
      <c r="K95" s="226">
        <f t="shared" si="26"/>
        <v>2.3358340263349443E-4</v>
      </c>
      <c r="L95" s="224">
        <f t="shared" si="24"/>
        <v>22.524628485556853</v>
      </c>
      <c r="M95" s="258"/>
    </row>
    <row r="96" spans="1:13" s="238" customFormat="1" x14ac:dyDescent="0.15">
      <c r="A96" s="221"/>
      <c r="B96" s="222" t="s">
        <v>266</v>
      </c>
      <c r="C96" s="223" t="s">
        <v>327</v>
      </c>
      <c r="D96" s="223" t="s">
        <v>2610</v>
      </c>
      <c r="E96" s="224">
        <v>174</v>
      </c>
      <c r="F96" s="222" t="s">
        <v>2535</v>
      </c>
      <c r="G96" s="224">
        <v>3188</v>
      </c>
      <c r="H96" s="225">
        <v>2</v>
      </c>
      <c r="I96" s="224">
        <f t="shared" si="23"/>
        <v>1594</v>
      </c>
      <c r="J96" s="224">
        <v>108404</v>
      </c>
      <c r="K96" s="226">
        <f t="shared" si="26"/>
        <v>5.5201177731325449E-4</v>
      </c>
      <c r="L96" s="224">
        <f t="shared" si="24"/>
        <v>18.321839080459771</v>
      </c>
      <c r="M96" s="258"/>
    </row>
    <row r="97" spans="1:13" s="238" customFormat="1" x14ac:dyDescent="0.15">
      <c r="A97" s="221"/>
      <c r="B97" s="222" t="s">
        <v>266</v>
      </c>
      <c r="C97" s="223" t="s">
        <v>430</v>
      </c>
      <c r="D97" s="223" t="s">
        <v>2611</v>
      </c>
      <c r="E97" s="224">
        <v>63.12</v>
      </c>
      <c r="F97" s="222" t="s">
        <v>2521</v>
      </c>
      <c r="G97" s="224">
        <v>3705</v>
      </c>
      <c r="H97" s="225">
        <v>4</v>
      </c>
      <c r="I97" s="224">
        <f t="shared" si="23"/>
        <v>926.25</v>
      </c>
      <c r="J97" s="224">
        <v>39543</v>
      </c>
      <c r="K97" s="226">
        <f t="shared" si="26"/>
        <v>6.4153188047227352E-4</v>
      </c>
      <c r="L97" s="224">
        <f t="shared" si="24"/>
        <v>58.697718631178709</v>
      </c>
      <c r="M97" s="258"/>
    </row>
    <row r="98" spans="1:13" s="238" customFormat="1" x14ac:dyDescent="0.15">
      <c r="A98" s="221"/>
      <c r="B98" s="222" t="s">
        <v>266</v>
      </c>
      <c r="C98" s="223" t="s">
        <v>582</v>
      </c>
      <c r="D98" s="223" t="s">
        <v>2612</v>
      </c>
      <c r="E98" s="224">
        <v>152.74</v>
      </c>
      <c r="F98" s="222" t="s">
        <v>2521</v>
      </c>
      <c r="G98" s="224">
        <v>6988</v>
      </c>
      <c r="H98" s="225">
        <v>4</v>
      </c>
      <c r="I98" s="224">
        <f t="shared" si="23"/>
        <v>1747</v>
      </c>
      <c r="J98" s="224">
        <v>44404</v>
      </c>
      <c r="K98" s="226">
        <f t="shared" si="26"/>
        <v>1.2099931931822529E-3</v>
      </c>
      <c r="L98" s="224">
        <f t="shared" si="24"/>
        <v>45.750949325651433</v>
      </c>
      <c r="M98" s="258"/>
    </row>
    <row r="99" spans="1:13" s="238" customFormat="1" x14ac:dyDescent="0.15">
      <c r="A99" s="221"/>
      <c r="B99" s="222" t="s">
        <v>266</v>
      </c>
      <c r="C99" s="223" t="s">
        <v>329</v>
      </c>
      <c r="D99" s="223" t="s">
        <v>2613</v>
      </c>
      <c r="E99" s="224">
        <v>65.260000000000005</v>
      </c>
      <c r="F99" s="222" t="s">
        <v>2557</v>
      </c>
      <c r="G99" s="224">
        <v>1135</v>
      </c>
      <c r="H99" s="225">
        <v>1</v>
      </c>
      <c r="I99" s="224">
        <f t="shared" si="23"/>
        <v>1135</v>
      </c>
      <c r="J99" s="224">
        <v>36749</v>
      </c>
      <c r="K99" s="226">
        <f t="shared" ref="K99:K134" si="40">G99/$G$527</f>
        <v>1.9652865973981927E-4</v>
      </c>
      <c r="L99" s="224">
        <f t="shared" si="24"/>
        <v>17.391970579221574</v>
      </c>
      <c r="M99" s="261"/>
    </row>
    <row r="100" spans="1:13" s="238" customFormat="1" x14ac:dyDescent="0.15">
      <c r="A100" s="221"/>
      <c r="B100" s="222" t="s">
        <v>266</v>
      </c>
      <c r="C100" s="223" t="s">
        <v>1882</v>
      </c>
      <c r="D100" s="223" t="s">
        <v>2614</v>
      </c>
      <c r="E100" s="224">
        <v>65.09</v>
      </c>
      <c r="F100" s="222" t="s">
        <v>2557</v>
      </c>
      <c r="G100" s="224"/>
      <c r="H100" s="225"/>
      <c r="I100" s="224">
        <f t="shared" si="23"/>
        <v>0</v>
      </c>
      <c r="J100" s="224">
        <v>14626</v>
      </c>
      <c r="K100" s="226">
        <f t="shared" si="40"/>
        <v>0</v>
      </c>
      <c r="L100" s="224">
        <f t="shared" si="24"/>
        <v>0</v>
      </c>
      <c r="M100" s="261"/>
    </row>
    <row r="101" spans="1:13" s="238" customFormat="1" x14ac:dyDescent="0.15">
      <c r="A101" s="221"/>
      <c r="B101" s="222" t="s">
        <v>266</v>
      </c>
      <c r="C101" s="223" t="s">
        <v>1754</v>
      </c>
      <c r="D101" s="223" t="s">
        <v>2615</v>
      </c>
      <c r="E101" s="224">
        <v>120.85</v>
      </c>
      <c r="F101" s="222" t="s">
        <v>2557</v>
      </c>
      <c r="G101" s="224">
        <v>3378</v>
      </c>
      <c r="H101" s="225">
        <v>2</v>
      </c>
      <c r="I101" s="224">
        <f t="shared" ref="I101" si="41">IF(OR(H101=0,G101=0),0,G101/H101)</f>
        <v>1689</v>
      </c>
      <c r="J101" s="224">
        <v>27907</v>
      </c>
      <c r="K101" s="226">
        <f t="shared" si="40"/>
        <v>5.8491084810670445E-4</v>
      </c>
      <c r="L101" s="224">
        <f t="shared" ref="L101" si="42">G101/E101</f>
        <v>27.952006619776583</v>
      </c>
      <c r="M101" s="258"/>
    </row>
    <row r="102" spans="1:13" s="238" customFormat="1" x14ac:dyDescent="0.15">
      <c r="A102" s="221"/>
      <c r="B102" s="222" t="s">
        <v>266</v>
      </c>
      <c r="C102" s="223" t="s">
        <v>349</v>
      </c>
      <c r="D102" s="223" t="s">
        <v>2616</v>
      </c>
      <c r="E102" s="224">
        <v>83.45</v>
      </c>
      <c r="F102" s="222" t="s">
        <v>2597</v>
      </c>
      <c r="G102" s="224">
        <v>5241</v>
      </c>
      <c r="H102" s="225">
        <v>4</v>
      </c>
      <c r="I102" s="224">
        <f t="shared" si="23"/>
        <v>1310.25</v>
      </c>
      <c r="J102" s="224">
        <v>38896</v>
      </c>
      <c r="K102" s="226">
        <f t="shared" si="40"/>
        <v>9.0749489488668972E-4</v>
      </c>
      <c r="L102" s="224">
        <f t="shared" si="24"/>
        <v>62.804074295985615</v>
      </c>
      <c r="M102" s="258"/>
    </row>
    <row r="103" spans="1:13" s="238" customFormat="1" x14ac:dyDescent="0.15">
      <c r="A103" s="221"/>
      <c r="B103" s="222" t="s">
        <v>424</v>
      </c>
      <c r="C103" s="223" t="s">
        <v>1712</v>
      </c>
      <c r="D103" s="223" t="s">
        <v>2617</v>
      </c>
      <c r="E103" s="224">
        <v>59.05</v>
      </c>
      <c r="F103" s="222" t="s">
        <v>2535</v>
      </c>
      <c r="G103" s="224">
        <v>1020</v>
      </c>
      <c r="H103" s="225">
        <v>1</v>
      </c>
      <c r="I103" s="224">
        <f t="shared" ref="I103" si="43">IF(OR(H103=0,G103=0),0,G103/H103)</f>
        <v>1020</v>
      </c>
      <c r="J103" s="224">
        <v>19131</v>
      </c>
      <c r="K103" s="226">
        <f t="shared" si="40"/>
        <v>1.7661606425957327E-4</v>
      </c>
      <c r="L103" s="224">
        <f t="shared" ref="L103" si="44">G103/E103</f>
        <v>17.273497036409822</v>
      </c>
      <c r="M103" s="261"/>
    </row>
    <row r="104" spans="1:13" s="238" customFormat="1" x14ac:dyDescent="0.15">
      <c r="A104" s="221"/>
      <c r="B104" s="222" t="s">
        <v>424</v>
      </c>
      <c r="C104" s="223" t="s">
        <v>431</v>
      </c>
      <c r="D104" s="223" t="s">
        <v>2618</v>
      </c>
      <c r="E104" s="224">
        <v>88.92</v>
      </c>
      <c r="F104" s="222" t="s">
        <v>2521</v>
      </c>
      <c r="G104" s="224">
        <v>8010</v>
      </c>
      <c r="H104" s="225">
        <v>3</v>
      </c>
      <c r="I104" s="224">
        <f t="shared" si="23"/>
        <v>2670</v>
      </c>
      <c r="J104" s="224">
        <v>36316</v>
      </c>
      <c r="K104" s="226">
        <f t="shared" si="40"/>
        <v>1.3869555634501783E-3</v>
      </c>
      <c r="L104" s="224">
        <f t="shared" si="24"/>
        <v>90.08097165991903</v>
      </c>
      <c r="M104" s="261"/>
    </row>
    <row r="105" spans="1:13" s="238" customFormat="1" x14ac:dyDescent="0.15">
      <c r="A105" s="221"/>
      <c r="B105" s="222" t="s">
        <v>266</v>
      </c>
      <c r="C105" s="223" t="s">
        <v>375</v>
      </c>
      <c r="D105" s="223" t="s">
        <v>2619</v>
      </c>
      <c r="E105" s="224">
        <v>201.74</v>
      </c>
      <c r="F105" s="222" t="s">
        <v>2521</v>
      </c>
      <c r="G105" s="224"/>
      <c r="H105" s="225"/>
      <c r="I105" s="224">
        <f t="shared" si="23"/>
        <v>0</v>
      </c>
      <c r="J105" s="224">
        <v>53801</v>
      </c>
      <c r="K105" s="226">
        <f t="shared" si="40"/>
        <v>0</v>
      </c>
      <c r="L105" s="224">
        <f t="shared" si="24"/>
        <v>0</v>
      </c>
      <c r="M105" s="261"/>
    </row>
    <row r="106" spans="1:13" s="238" customFormat="1" x14ac:dyDescent="0.15">
      <c r="A106" s="221"/>
      <c r="B106" s="222" t="s">
        <v>266</v>
      </c>
      <c r="C106" s="223" t="s">
        <v>636</v>
      </c>
      <c r="D106" s="223" t="s">
        <v>2620</v>
      </c>
      <c r="E106" s="224">
        <v>218</v>
      </c>
      <c r="F106" s="222" t="s">
        <v>2521</v>
      </c>
      <c r="G106" s="224">
        <v>35556</v>
      </c>
      <c r="H106" s="225">
        <v>23</v>
      </c>
      <c r="I106" s="224">
        <f t="shared" si="23"/>
        <v>1545.9130434782608</v>
      </c>
      <c r="J106" s="224">
        <v>284743</v>
      </c>
      <c r="K106" s="226">
        <f t="shared" si="40"/>
        <v>6.1566282164837128E-3</v>
      </c>
      <c r="L106" s="224">
        <f t="shared" si="24"/>
        <v>163.10091743119267</v>
      </c>
      <c r="M106" s="261"/>
    </row>
    <row r="107" spans="1:13" s="238" customFormat="1" x14ac:dyDescent="0.15">
      <c r="A107" s="221"/>
      <c r="B107" s="222" t="s">
        <v>266</v>
      </c>
      <c r="C107" s="223" t="s">
        <v>645</v>
      </c>
      <c r="D107" s="222" t="s">
        <v>2621</v>
      </c>
      <c r="E107" s="224">
        <v>95</v>
      </c>
      <c r="F107" s="222" t="s">
        <v>2535</v>
      </c>
      <c r="G107" s="224">
        <v>933</v>
      </c>
      <c r="H107" s="225">
        <v>1</v>
      </c>
      <c r="I107" s="224">
        <f t="shared" si="23"/>
        <v>933</v>
      </c>
      <c r="J107" s="224">
        <v>51653</v>
      </c>
      <c r="K107" s="226">
        <f t="shared" si="40"/>
        <v>1.6155175289625672E-4</v>
      </c>
      <c r="L107" s="224">
        <f t="shared" si="24"/>
        <v>9.8210526315789473</v>
      </c>
      <c r="M107" s="261"/>
    </row>
    <row r="108" spans="1:13" s="238" customFormat="1" x14ac:dyDescent="0.15">
      <c r="A108" s="221"/>
      <c r="B108" s="222" t="s">
        <v>266</v>
      </c>
      <c r="C108" s="223" t="s">
        <v>597</v>
      </c>
      <c r="D108" s="223" t="s">
        <v>2622</v>
      </c>
      <c r="E108" s="224">
        <v>72</v>
      </c>
      <c r="F108" s="222" t="s">
        <v>2557</v>
      </c>
      <c r="G108" s="224">
        <v>6041</v>
      </c>
      <c r="H108" s="225">
        <v>6</v>
      </c>
      <c r="I108" s="224">
        <f t="shared" si="23"/>
        <v>1006.8333333333334</v>
      </c>
      <c r="J108" s="224">
        <v>104725</v>
      </c>
      <c r="K108" s="226">
        <f t="shared" si="40"/>
        <v>1.0460172982275314E-3</v>
      </c>
      <c r="L108" s="224">
        <f t="shared" si="24"/>
        <v>83.902777777777771</v>
      </c>
      <c r="M108" s="261"/>
    </row>
    <row r="109" spans="1:13" s="238" customFormat="1" x14ac:dyDescent="0.15">
      <c r="A109" s="221"/>
      <c r="B109" s="222" t="s">
        <v>266</v>
      </c>
      <c r="C109" s="223" t="s">
        <v>623</v>
      </c>
      <c r="D109" s="222" t="s">
        <v>2623</v>
      </c>
      <c r="E109" s="224">
        <v>88</v>
      </c>
      <c r="F109" s="222" t="s">
        <v>2557</v>
      </c>
      <c r="G109" s="224">
        <v>2932</v>
      </c>
      <c r="H109" s="225">
        <v>7</v>
      </c>
      <c r="I109" s="224">
        <f t="shared" si="23"/>
        <v>418.85714285714283</v>
      </c>
      <c r="J109" s="224">
        <v>49219</v>
      </c>
      <c r="K109" s="226">
        <f t="shared" si="40"/>
        <v>5.0768460824418516E-4</v>
      </c>
      <c r="L109" s="224">
        <f t="shared" si="24"/>
        <v>33.31818181818182</v>
      </c>
      <c r="M109" s="261"/>
    </row>
    <row r="110" spans="1:13" s="238" customFormat="1" x14ac:dyDescent="0.15">
      <c r="A110" s="221"/>
      <c r="B110" s="222" t="s">
        <v>266</v>
      </c>
      <c r="C110" s="223" t="s">
        <v>1005</v>
      </c>
      <c r="D110" s="222" t="s">
        <v>2624</v>
      </c>
      <c r="E110" s="224">
        <v>280.75</v>
      </c>
      <c r="F110" s="222" t="s">
        <v>2521</v>
      </c>
      <c r="G110" s="224">
        <v>15000</v>
      </c>
      <c r="H110" s="225">
        <v>1</v>
      </c>
      <c r="I110" s="224">
        <f t="shared" si="23"/>
        <v>15000</v>
      </c>
      <c r="J110" s="224">
        <v>155000</v>
      </c>
      <c r="K110" s="226">
        <f t="shared" si="40"/>
        <v>2.5972950626407831E-3</v>
      </c>
      <c r="L110" s="224">
        <f t="shared" si="24"/>
        <v>53.428317008014247</v>
      </c>
      <c r="M110" s="261"/>
    </row>
    <row r="111" spans="1:13" s="238" customFormat="1" x14ac:dyDescent="0.15">
      <c r="A111" s="221"/>
      <c r="B111" s="222" t="s">
        <v>266</v>
      </c>
      <c r="C111" s="223" t="s">
        <v>1896</v>
      </c>
      <c r="D111" s="222" t="s">
        <v>2625</v>
      </c>
      <c r="E111" s="224">
        <v>400</v>
      </c>
      <c r="F111" s="222" t="s">
        <v>2521</v>
      </c>
      <c r="G111" s="224">
        <v>17894</v>
      </c>
      <c r="H111" s="225">
        <v>68</v>
      </c>
      <c r="I111" s="224">
        <f t="shared" si="23"/>
        <v>263.14705882352939</v>
      </c>
      <c r="J111" s="224">
        <v>207949</v>
      </c>
      <c r="K111" s="226">
        <f t="shared" si="40"/>
        <v>3.0983998567262784E-3</v>
      </c>
      <c r="L111" s="224">
        <f t="shared" si="24"/>
        <v>44.734999999999999</v>
      </c>
      <c r="M111" s="261"/>
    </row>
    <row r="112" spans="1:13" s="238" customFormat="1" x14ac:dyDescent="0.15">
      <c r="A112" s="221"/>
      <c r="B112" s="222" t="s">
        <v>266</v>
      </c>
      <c r="C112" s="223" t="s">
        <v>804</v>
      </c>
      <c r="D112" s="222" t="s">
        <v>2359</v>
      </c>
      <c r="E112" s="224">
        <v>25.4</v>
      </c>
      <c r="F112" s="222" t="s">
        <v>2319</v>
      </c>
      <c r="G112" s="224">
        <v>1112</v>
      </c>
      <c r="H112" s="225">
        <v>4</v>
      </c>
      <c r="I112" s="224">
        <f t="shared" si="23"/>
        <v>278</v>
      </c>
      <c r="J112" s="224">
        <v>10110.9</v>
      </c>
      <c r="K112" s="226">
        <f t="shared" si="40"/>
        <v>1.9254614064377008E-4</v>
      </c>
      <c r="L112" s="224">
        <f t="shared" si="24"/>
        <v>43.779527559055119</v>
      </c>
      <c r="M112" s="261"/>
    </row>
    <row r="113" spans="1:13" s="238" customFormat="1" x14ac:dyDescent="0.15">
      <c r="A113" s="221"/>
      <c r="B113" s="222" t="s">
        <v>266</v>
      </c>
      <c r="C113" s="223" t="s">
        <v>330</v>
      </c>
      <c r="D113" s="223" t="s">
        <v>2626</v>
      </c>
      <c r="E113" s="224">
        <v>13</v>
      </c>
      <c r="F113" s="222" t="s">
        <v>2519</v>
      </c>
      <c r="G113" s="224">
        <v>1204</v>
      </c>
      <c r="H113" s="225">
        <v>5</v>
      </c>
      <c r="I113" s="224">
        <f t="shared" si="23"/>
        <v>240.8</v>
      </c>
      <c r="J113" s="224">
        <v>7163</v>
      </c>
      <c r="K113" s="226">
        <f t="shared" si="40"/>
        <v>2.0847621702796686E-4</v>
      </c>
      <c r="L113" s="224">
        <f t="shared" si="24"/>
        <v>92.615384615384613</v>
      </c>
      <c r="M113" s="258"/>
    </row>
    <row r="114" spans="1:13" s="238" customFormat="1" x14ac:dyDescent="0.15">
      <c r="A114" s="221"/>
      <c r="B114" s="222" t="s">
        <v>266</v>
      </c>
      <c r="C114" s="223" t="s">
        <v>331</v>
      </c>
      <c r="D114" s="223" t="s">
        <v>2627</v>
      </c>
      <c r="E114" s="224">
        <v>66</v>
      </c>
      <c r="F114" s="222" t="s">
        <v>2557</v>
      </c>
      <c r="G114" s="224">
        <v>8491</v>
      </c>
      <c r="H114" s="225">
        <v>17</v>
      </c>
      <c r="I114" s="224">
        <f t="shared" si="23"/>
        <v>499.47058823529414</v>
      </c>
      <c r="J114" s="224">
        <v>81552</v>
      </c>
      <c r="K114" s="226">
        <f t="shared" si="40"/>
        <v>1.4702421584588594E-3</v>
      </c>
      <c r="L114" s="224">
        <f t="shared" si="24"/>
        <v>128.65151515151516</v>
      </c>
      <c r="M114" s="258"/>
    </row>
    <row r="115" spans="1:13" s="238" customFormat="1" x14ac:dyDescent="0.15">
      <c r="A115" s="221"/>
      <c r="B115" s="222" t="s">
        <v>266</v>
      </c>
      <c r="C115" s="223" t="s">
        <v>513</v>
      </c>
      <c r="D115" s="223" t="s">
        <v>2628</v>
      </c>
      <c r="E115" s="224">
        <v>10</v>
      </c>
      <c r="F115" s="222" t="s">
        <v>2519</v>
      </c>
      <c r="G115" s="224"/>
      <c r="H115" s="225"/>
      <c r="I115" s="224">
        <f t="shared" si="23"/>
        <v>0</v>
      </c>
      <c r="J115" s="224">
        <v>1441</v>
      </c>
      <c r="K115" s="226">
        <f t="shared" si="40"/>
        <v>0</v>
      </c>
      <c r="L115" s="224">
        <f t="shared" si="24"/>
        <v>0</v>
      </c>
      <c r="M115" s="258"/>
    </row>
    <row r="116" spans="1:13" s="238" customFormat="1" x14ac:dyDescent="0.15">
      <c r="A116" s="221"/>
      <c r="B116" s="222" t="s">
        <v>266</v>
      </c>
      <c r="C116" s="223" t="s">
        <v>536</v>
      </c>
      <c r="D116" s="223" t="s">
        <v>2629</v>
      </c>
      <c r="E116" s="224">
        <v>100</v>
      </c>
      <c r="F116" s="222" t="s">
        <v>2548</v>
      </c>
      <c r="G116" s="224">
        <v>3834</v>
      </c>
      <c r="H116" s="225">
        <v>39</v>
      </c>
      <c r="I116" s="224">
        <f t="shared" si="23"/>
        <v>98.307692307692307</v>
      </c>
      <c r="J116" s="224">
        <v>24657</v>
      </c>
      <c r="K116" s="226">
        <f t="shared" si="40"/>
        <v>6.6386861801098426E-4</v>
      </c>
      <c r="L116" s="224">
        <f t="shared" si="24"/>
        <v>38.340000000000003</v>
      </c>
      <c r="M116" s="258"/>
    </row>
    <row r="117" spans="1:13" s="238" customFormat="1" x14ac:dyDescent="0.15">
      <c r="A117" s="221"/>
      <c r="B117" s="222" t="s">
        <v>266</v>
      </c>
      <c r="C117" s="223" t="s">
        <v>566</v>
      </c>
      <c r="D117" s="223" t="s">
        <v>2630</v>
      </c>
      <c r="E117" s="224">
        <v>65</v>
      </c>
      <c r="F117" s="222" t="s">
        <v>2557</v>
      </c>
      <c r="G117" s="224">
        <v>3055</v>
      </c>
      <c r="H117" s="225">
        <v>6</v>
      </c>
      <c r="I117" s="224">
        <f t="shared" si="23"/>
        <v>509.16666666666669</v>
      </c>
      <c r="J117" s="224">
        <v>35610</v>
      </c>
      <c r="K117" s="226">
        <f t="shared" si="40"/>
        <v>5.2898242775783956E-4</v>
      </c>
      <c r="L117" s="224">
        <f t="shared" si="24"/>
        <v>47</v>
      </c>
      <c r="M117" s="258"/>
    </row>
    <row r="118" spans="1:13" s="238" customFormat="1" x14ac:dyDescent="0.15">
      <c r="A118" s="221"/>
      <c r="B118" s="222" t="s">
        <v>266</v>
      </c>
      <c r="C118" s="223" t="s">
        <v>633</v>
      </c>
      <c r="D118" s="222" t="s">
        <v>2631</v>
      </c>
      <c r="E118" s="224">
        <v>46</v>
      </c>
      <c r="F118" s="222" t="s">
        <v>2557</v>
      </c>
      <c r="G118" s="224">
        <v>4206</v>
      </c>
      <c r="H118" s="225">
        <v>6</v>
      </c>
      <c r="I118" s="224">
        <f t="shared" si="23"/>
        <v>701</v>
      </c>
      <c r="J118" s="224">
        <v>23934</v>
      </c>
      <c r="K118" s="226">
        <f t="shared" si="40"/>
        <v>7.2828153556447569E-4</v>
      </c>
      <c r="L118" s="224">
        <f t="shared" si="24"/>
        <v>91.434782608695656</v>
      </c>
      <c r="M118" s="258"/>
    </row>
    <row r="119" spans="1:13" s="238" customFormat="1" x14ac:dyDescent="0.15">
      <c r="A119" s="221"/>
      <c r="B119" s="222" t="s">
        <v>266</v>
      </c>
      <c r="C119" s="223" t="s">
        <v>637</v>
      </c>
      <c r="D119" s="222" t="s">
        <v>2632</v>
      </c>
      <c r="E119" s="224">
        <v>40</v>
      </c>
      <c r="F119" s="222" t="s">
        <v>2557</v>
      </c>
      <c r="G119" s="224">
        <v>5236</v>
      </c>
      <c r="H119" s="225">
        <v>7</v>
      </c>
      <c r="I119" s="224">
        <f t="shared" si="23"/>
        <v>748</v>
      </c>
      <c r="J119" s="224">
        <v>36432</v>
      </c>
      <c r="K119" s="226">
        <f t="shared" si="40"/>
        <v>9.0662912986580945E-4</v>
      </c>
      <c r="L119" s="224">
        <f t="shared" si="24"/>
        <v>130.9</v>
      </c>
      <c r="M119" s="258"/>
    </row>
    <row r="120" spans="1:13" s="238" customFormat="1" x14ac:dyDescent="0.15">
      <c r="A120" s="221"/>
      <c r="B120" s="222" t="s">
        <v>266</v>
      </c>
      <c r="C120" s="223" t="s">
        <v>632</v>
      </c>
      <c r="D120" s="222" t="s">
        <v>2633</v>
      </c>
      <c r="E120" s="224">
        <v>56</v>
      </c>
      <c r="F120" s="222" t="s">
        <v>2557</v>
      </c>
      <c r="G120" s="224">
        <v>6490</v>
      </c>
      <c r="H120" s="225">
        <v>15</v>
      </c>
      <c r="I120" s="224">
        <f t="shared" si="23"/>
        <v>432.66666666666669</v>
      </c>
      <c r="J120" s="224">
        <v>55891</v>
      </c>
      <c r="K120" s="226">
        <f t="shared" si="40"/>
        <v>1.1237629971025788E-3</v>
      </c>
      <c r="L120" s="224">
        <f t="shared" si="24"/>
        <v>115.89285714285714</v>
      </c>
      <c r="M120" s="258"/>
    </row>
    <row r="121" spans="1:13" s="238" customFormat="1" x14ac:dyDescent="0.15">
      <c r="A121" s="221"/>
      <c r="B121" s="222" t="s">
        <v>266</v>
      </c>
      <c r="C121" s="223" t="s">
        <v>1009</v>
      </c>
      <c r="D121" s="222" t="s">
        <v>2594</v>
      </c>
      <c r="E121" s="224">
        <v>36</v>
      </c>
      <c r="F121" s="222" t="s">
        <v>2557</v>
      </c>
      <c r="G121" s="224">
        <v>3996</v>
      </c>
      <c r="H121" s="225">
        <v>6</v>
      </c>
      <c r="I121" s="224">
        <f t="shared" si="23"/>
        <v>666</v>
      </c>
      <c r="J121" s="224">
        <v>21629</v>
      </c>
      <c r="K121" s="226">
        <f t="shared" si="40"/>
        <v>6.9191940468750469E-4</v>
      </c>
      <c r="L121" s="224">
        <f t="shared" si="24"/>
        <v>111</v>
      </c>
      <c r="M121" s="258"/>
    </row>
    <row r="122" spans="1:13" s="286" customFormat="1" x14ac:dyDescent="0.15">
      <c r="A122" s="230" t="s">
        <v>412</v>
      </c>
      <c r="B122" s="231"/>
      <c r="C122" s="231"/>
      <c r="D122" s="232"/>
      <c r="E122" s="233">
        <f>SUM(E59:E121)</f>
        <v>7289.25</v>
      </c>
      <c r="F122" s="232"/>
      <c r="G122" s="233">
        <f>SUM(G59:G121)</f>
        <v>450842.80000000005</v>
      </c>
      <c r="H122" s="234">
        <f>SUM(H59:H121)</f>
        <v>559</v>
      </c>
      <c r="I122" s="233">
        <f t="shared" si="23"/>
        <v>806.51663685152062</v>
      </c>
      <c r="J122" s="233">
        <f>SUM(J59:J121)</f>
        <v>4416855.5</v>
      </c>
      <c r="K122" s="235">
        <f t="shared" si="40"/>
        <v>7.8064785231143088E-2</v>
      </c>
      <c r="L122" s="233">
        <f t="shared" si="24"/>
        <v>61.850368693624176</v>
      </c>
      <c r="M122" s="262"/>
    </row>
    <row r="123" spans="1:13" s="228" customFormat="1" x14ac:dyDescent="0.15">
      <c r="A123" s="221"/>
      <c r="B123" s="222" t="s">
        <v>432</v>
      </c>
      <c r="C123" s="223" t="s">
        <v>433</v>
      </c>
      <c r="D123" s="223" t="s">
        <v>2634</v>
      </c>
      <c r="E123" s="224">
        <v>120</v>
      </c>
      <c r="F123" s="222" t="s">
        <v>2521</v>
      </c>
      <c r="G123" s="224">
        <v>5782</v>
      </c>
      <c r="H123" s="225">
        <v>9</v>
      </c>
      <c r="I123" s="224">
        <f t="shared" si="23"/>
        <v>642.44444444444446</v>
      </c>
      <c r="J123" s="224">
        <v>75040</v>
      </c>
      <c r="K123" s="226">
        <f t="shared" si="40"/>
        <v>1.001170670145934E-3</v>
      </c>
      <c r="L123" s="224">
        <f t="shared" si="24"/>
        <v>48.18333333333333</v>
      </c>
      <c r="M123" s="258"/>
    </row>
    <row r="124" spans="1:13" s="228" customFormat="1" x14ac:dyDescent="0.15">
      <c r="A124" s="221"/>
      <c r="B124" s="222" t="s">
        <v>236</v>
      </c>
      <c r="C124" s="223" t="s">
        <v>575</v>
      </c>
      <c r="D124" s="223" t="s">
        <v>2635</v>
      </c>
      <c r="E124" s="224">
        <v>181.86</v>
      </c>
      <c r="F124" s="222" t="s">
        <v>2521</v>
      </c>
      <c r="G124" s="224">
        <v>6572</v>
      </c>
      <c r="H124" s="225">
        <v>13</v>
      </c>
      <c r="I124" s="224">
        <f t="shared" si="23"/>
        <v>505.53846153846155</v>
      </c>
      <c r="J124" s="224">
        <v>138382</v>
      </c>
      <c r="K124" s="226">
        <f t="shared" si="40"/>
        <v>1.1379615434450152E-3</v>
      </c>
      <c r="L124" s="224">
        <f t="shared" si="24"/>
        <v>36.137688331683712</v>
      </c>
      <c r="M124" s="258"/>
    </row>
    <row r="125" spans="1:13" s="228" customFormat="1" x14ac:dyDescent="0.15">
      <c r="A125" s="221"/>
      <c r="B125" s="222" t="s">
        <v>236</v>
      </c>
      <c r="C125" s="223" t="s">
        <v>906</v>
      </c>
      <c r="D125" s="223" t="s">
        <v>2636</v>
      </c>
      <c r="E125" s="224">
        <v>34.28</v>
      </c>
      <c r="F125" s="222" t="s">
        <v>2515</v>
      </c>
      <c r="G125" s="224">
        <v>10270</v>
      </c>
      <c r="H125" s="225">
        <v>28</v>
      </c>
      <c r="I125" s="224">
        <f t="shared" si="23"/>
        <v>366.78571428571428</v>
      </c>
      <c r="J125" s="224">
        <v>81229</v>
      </c>
      <c r="K125" s="226">
        <f t="shared" si="40"/>
        <v>1.7782813528880563E-3</v>
      </c>
      <c r="L125" s="224">
        <f t="shared" si="24"/>
        <v>299.5915985997666</v>
      </c>
      <c r="M125" s="258"/>
    </row>
    <row r="126" spans="1:13" s="228" customFormat="1" x14ac:dyDescent="0.15">
      <c r="A126" s="221"/>
      <c r="B126" s="222" t="s">
        <v>236</v>
      </c>
      <c r="C126" s="223" t="s">
        <v>245</v>
      </c>
      <c r="D126" s="223" t="s">
        <v>2637</v>
      </c>
      <c r="E126" s="224">
        <v>119.87</v>
      </c>
      <c r="F126" s="222" t="s">
        <v>2521</v>
      </c>
      <c r="G126" s="224">
        <v>19385</v>
      </c>
      <c r="H126" s="225">
        <v>14</v>
      </c>
      <c r="I126" s="224">
        <f t="shared" si="23"/>
        <v>1384.6428571428571</v>
      </c>
      <c r="J126" s="224">
        <v>116832</v>
      </c>
      <c r="K126" s="226">
        <f t="shared" si="40"/>
        <v>3.3565709859527722E-3</v>
      </c>
      <c r="L126" s="224">
        <f t="shared" si="24"/>
        <v>161.71685993159255</v>
      </c>
      <c r="M126" s="258"/>
    </row>
    <row r="127" spans="1:13" s="228" customFormat="1" x14ac:dyDescent="0.15">
      <c r="A127" s="221"/>
      <c r="B127" s="222" t="s">
        <v>432</v>
      </c>
      <c r="C127" s="223" t="s">
        <v>434</v>
      </c>
      <c r="D127" s="223" t="s">
        <v>2638</v>
      </c>
      <c r="E127" s="224">
        <v>146.71</v>
      </c>
      <c r="F127" s="222" t="s">
        <v>2521</v>
      </c>
      <c r="G127" s="224">
        <v>13196</v>
      </c>
      <c r="H127" s="225">
        <v>9</v>
      </c>
      <c r="I127" s="224">
        <f t="shared" ref="I127:I199" si="45">IF(OR(H127=0,G127=0),0,G127/H127)</f>
        <v>1466.2222222222222</v>
      </c>
      <c r="J127" s="224">
        <v>115882</v>
      </c>
      <c r="K127" s="226">
        <f t="shared" si="40"/>
        <v>2.2849270431071849E-3</v>
      </c>
      <c r="L127" s="224">
        <f t="shared" ref="L127:L199" si="46">G127/E127</f>
        <v>89.946152273192013</v>
      </c>
      <c r="M127" s="258"/>
    </row>
    <row r="128" spans="1:13" s="228" customFormat="1" x14ac:dyDescent="0.15">
      <c r="A128" s="221"/>
      <c r="B128" s="222" t="s">
        <v>432</v>
      </c>
      <c r="C128" s="223" t="s">
        <v>1807</v>
      </c>
      <c r="D128" s="223" t="s">
        <v>2639</v>
      </c>
      <c r="E128" s="224">
        <v>265</v>
      </c>
      <c r="F128" s="222" t="s">
        <v>2521</v>
      </c>
      <c r="G128" s="224">
        <v>19056</v>
      </c>
      <c r="H128" s="225">
        <v>15</v>
      </c>
      <c r="I128" s="224">
        <f t="shared" ref="I128" si="47">IF(OR(H128=0,G128=0),0,G128/H128)</f>
        <v>1270.4000000000001</v>
      </c>
      <c r="J128" s="224">
        <v>181798.2</v>
      </c>
      <c r="K128" s="226">
        <f t="shared" si="40"/>
        <v>3.2996036475788511E-3</v>
      </c>
      <c r="L128" s="224">
        <f t="shared" ref="L128" si="48">G128/E128</f>
        <v>71.909433962264146</v>
      </c>
      <c r="M128" s="258"/>
    </row>
    <row r="129" spans="1:13" s="228" customFormat="1" x14ac:dyDescent="0.15">
      <c r="A129" s="221"/>
      <c r="B129" s="222" t="s">
        <v>236</v>
      </c>
      <c r="C129" s="223" t="s">
        <v>1776</v>
      </c>
      <c r="D129" s="223" t="s">
        <v>2640</v>
      </c>
      <c r="E129" s="224">
        <v>62</v>
      </c>
      <c r="F129" s="222" t="s">
        <v>2521</v>
      </c>
      <c r="G129" s="224">
        <v>778</v>
      </c>
      <c r="H129" s="225">
        <v>1</v>
      </c>
      <c r="I129" s="224">
        <f t="shared" si="45"/>
        <v>778</v>
      </c>
      <c r="J129" s="224">
        <v>54234</v>
      </c>
      <c r="K129" s="226">
        <f t="shared" si="40"/>
        <v>1.3471303724896862E-4</v>
      </c>
      <c r="L129" s="224">
        <f t="shared" si="46"/>
        <v>12.548387096774194</v>
      </c>
      <c r="M129" s="258"/>
    </row>
    <row r="130" spans="1:13" s="228" customFormat="1" x14ac:dyDescent="0.15">
      <c r="A130" s="221"/>
      <c r="B130" s="222" t="s">
        <v>432</v>
      </c>
      <c r="C130" s="223" t="s">
        <v>1741</v>
      </c>
      <c r="D130" s="223" t="s">
        <v>2641</v>
      </c>
      <c r="E130" s="224">
        <v>90</v>
      </c>
      <c r="F130" s="222" t="s">
        <v>2521</v>
      </c>
      <c r="G130" s="224">
        <v>3358</v>
      </c>
      <c r="H130" s="225">
        <v>3</v>
      </c>
      <c r="I130" s="224">
        <f t="shared" ref="I130" si="49">IF(OR(H130=0,G130=0),0,G130/H130)</f>
        <v>1119.3333333333333</v>
      </c>
      <c r="J130" s="224">
        <v>52743</v>
      </c>
      <c r="K130" s="226">
        <f t="shared" si="40"/>
        <v>5.814477880231834E-4</v>
      </c>
      <c r="L130" s="224">
        <f t="shared" ref="L130" si="50">G130/E130</f>
        <v>37.31111111111111</v>
      </c>
      <c r="M130" s="258"/>
    </row>
    <row r="131" spans="1:13" s="228" customFormat="1" x14ac:dyDescent="0.15">
      <c r="A131" s="221"/>
      <c r="B131" s="222" t="s">
        <v>432</v>
      </c>
      <c r="C131" s="223" t="s">
        <v>631</v>
      </c>
      <c r="D131" s="222" t="s">
        <v>2642</v>
      </c>
      <c r="E131" s="224">
        <v>229.22</v>
      </c>
      <c r="F131" s="222" t="s">
        <v>2521</v>
      </c>
      <c r="G131" s="224">
        <v>13977</v>
      </c>
      <c r="H131" s="225">
        <v>14</v>
      </c>
      <c r="I131" s="224">
        <f t="shared" si="45"/>
        <v>998.35714285714289</v>
      </c>
      <c r="J131" s="224">
        <v>93653</v>
      </c>
      <c r="K131" s="226">
        <f t="shared" si="40"/>
        <v>2.4201595393686819E-3</v>
      </c>
      <c r="L131" s="224">
        <f t="shared" si="46"/>
        <v>60.976354593839979</v>
      </c>
      <c r="M131" s="258"/>
    </row>
    <row r="132" spans="1:13" s="228" customFormat="1" x14ac:dyDescent="0.15">
      <c r="A132" s="221"/>
      <c r="B132" s="222" t="s">
        <v>236</v>
      </c>
      <c r="C132" s="223" t="s">
        <v>1785</v>
      </c>
      <c r="D132" s="222" t="s">
        <v>2643</v>
      </c>
      <c r="E132" s="224">
        <v>265</v>
      </c>
      <c r="F132" s="222" t="s">
        <v>2521</v>
      </c>
      <c r="G132" s="224">
        <v>18912</v>
      </c>
      <c r="H132" s="225">
        <v>18</v>
      </c>
      <c r="I132" s="224">
        <f t="shared" ref="I132" si="51">IF(OR(H132=0,G132=0),0,G132/H132)</f>
        <v>1050.6666666666667</v>
      </c>
      <c r="J132" s="224">
        <v>161927.20000000001</v>
      </c>
      <c r="K132" s="226">
        <f t="shared" si="40"/>
        <v>3.2746696149774995E-3</v>
      </c>
      <c r="L132" s="224">
        <f t="shared" ref="L132" si="52">G132/E132</f>
        <v>71.366037735849062</v>
      </c>
      <c r="M132" s="258"/>
    </row>
    <row r="133" spans="1:13" s="228" customFormat="1" x14ac:dyDescent="0.15">
      <c r="A133" s="221"/>
      <c r="B133" s="222" t="s">
        <v>432</v>
      </c>
      <c r="C133" s="229" t="s">
        <v>435</v>
      </c>
      <c r="D133" s="223" t="s">
        <v>2360</v>
      </c>
      <c r="E133" s="224">
        <v>1370.54</v>
      </c>
      <c r="F133" s="222" t="s">
        <v>2318</v>
      </c>
      <c r="G133" s="224">
        <v>21996.5</v>
      </c>
      <c r="H133" s="225">
        <v>146</v>
      </c>
      <c r="I133" s="224">
        <f t="shared" si="45"/>
        <v>150.66095890410958</v>
      </c>
      <c r="J133" s="224">
        <v>260547.5</v>
      </c>
      <c r="K133" s="226">
        <f t="shared" si="40"/>
        <v>3.8087600563585329E-3</v>
      </c>
      <c r="L133" s="224">
        <f t="shared" si="46"/>
        <v>16.04951333051206</v>
      </c>
      <c r="M133" s="258"/>
    </row>
    <row r="134" spans="1:13" s="228" customFormat="1" x14ac:dyDescent="0.15">
      <c r="A134" s="221"/>
      <c r="B134" s="222" t="s">
        <v>236</v>
      </c>
      <c r="C134" s="229" t="s">
        <v>869</v>
      </c>
      <c r="D134" s="223" t="s">
        <v>2644</v>
      </c>
      <c r="E134" s="224">
        <v>126.62</v>
      </c>
      <c r="F134" s="222" t="s">
        <v>2521</v>
      </c>
      <c r="G134" s="224">
        <v>5211</v>
      </c>
      <c r="H134" s="225">
        <v>4</v>
      </c>
      <c r="I134" s="224">
        <f t="shared" si="45"/>
        <v>1302.75</v>
      </c>
      <c r="J134" s="224">
        <v>81767</v>
      </c>
      <c r="K134" s="226">
        <f t="shared" si="40"/>
        <v>9.0230030476140814E-4</v>
      </c>
      <c r="L134" s="224">
        <f t="shared" si="46"/>
        <v>41.15463591849629</v>
      </c>
      <c r="M134" s="258"/>
    </row>
    <row r="135" spans="1:13" s="228" customFormat="1" x14ac:dyDescent="0.15">
      <c r="A135" s="221"/>
      <c r="B135" s="222" t="s">
        <v>432</v>
      </c>
      <c r="C135" s="223" t="s">
        <v>436</v>
      </c>
      <c r="D135" s="223" t="s">
        <v>2645</v>
      </c>
      <c r="E135" s="224">
        <v>46.2</v>
      </c>
      <c r="F135" s="222" t="s">
        <v>2521</v>
      </c>
      <c r="G135" s="224">
        <v>4148</v>
      </c>
      <c r="H135" s="225">
        <v>3</v>
      </c>
      <c r="I135" s="224">
        <f t="shared" si="45"/>
        <v>1382.6666666666667</v>
      </c>
      <c r="J135" s="224">
        <v>34879</v>
      </c>
      <c r="K135" s="226">
        <f t="shared" ref="K135:K166" si="53">G135/$G$527</f>
        <v>7.1823866132226459E-4</v>
      </c>
      <c r="L135" s="224">
        <f t="shared" si="46"/>
        <v>89.783549783549773</v>
      </c>
      <c r="M135" s="258"/>
    </row>
    <row r="136" spans="1:13" s="228" customFormat="1" x14ac:dyDescent="0.15">
      <c r="A136" s="221"/>
      <c r="B136" s="222" t="s">
        <v>236</v>
      </c>
      <c r="C136" s="223" t="s">
        <v>848</v>
      </c>
      <c r="D136" s="223" t="s">
        <v>2646</v>
      </c>
      <c r="E136" s="224">
        <v>77.099999999999994</v>
      </c>
      <c r="F136" s="222" t="s">
        <v>2535</v>
      </c>
      <c r="G136" s="224">
        <v>648</v>
      </c>
      <c r="H136" s="225">
        <v>1</v>
      </c>
      <c r="I136" s="224">
        <f t="shared" si="45"/>
        <v>648</v>
      </c>
      <c r="J136" s="224">
        <v>31389</v>
      </c>
      <c r="K136" s="226">
        <f t="shared" si="53"/>
        <v>1.1220314670608184E-4</v>
      </c>
      <c r="L136" s="224">
        <f t="shared" si="46"/>
        <v>8.4046692607003894</v>
      </c>
      <c r="M136" s="258"/>
    </row>
    <row r="137" spans="1:13" s="228" customFormat="1" x14ac:dyDescent="0.15">
      <c r="A137" s="221"/>
      <c r="B137" s="222" t="s">
        <v>236</v>
      </c>
      <c r="C137" s="223" t="s">
        <v>1671</v>
      </c>
      <c r="D137" s="223" t="s">
        <v>2647</v>
      </c>
      <c r="E137" s="224">
        <v>200.8</v>
      </c>
      <c r="F137" s="222" t="s">
        <v>2521</v>
      </c>
      <c r="G137" s="224">
        <v>6690</v>
      </c>
      <c r="H137" s="225">
        <v>6</v>
      </c>
      <c r="I137" s="224">
        <f t="shared" ref="I137" si="54">IF(OR(H137=0,G137=0),0,G137/H137)</f>
        <v>1115</v>
      </c>
      <c r="J137" s="224">
        <v>80606</v>
      </c>
      <c r="K137" s="226">
        <f t="shared" si="53"/>
        <v>1.1583935979377893E-3</v>
      </c>
      <c r="L137" s="224">
        <f t="shared" ref="L137" si="55">G137/E137</f>
        <v>33.316733067729082</v>
      </c>
      <c r="M137" s="258"/>
    </row>
    <row r="138" spans="1:13" s="228" customFormat="1" x14ac:dyDescent="0.15">
      <c r="A138" s="221"/>
      <c r="B138" s="222" t="s">
        <v>432</v>
      </c>
      <c r="C138" s="223" t="s">
        <v>437</v>
      </c>
      <c r="D138" s="223" t="s">
        <v>2648</v>
      </c>
      <c r="E138" s="224">
        <v>286.68</v>
      </c>
      <c r="F138" s="222" t="s">
        <v>2521</v>
      </c>
      <c r="G138" s="224">
        <v>7729.2</v>
      </c>
      <c r="H138" s="225">
        <v>9</v>
      </c>
      <c r="I138" s="224">
        <f t="shared" si="45"/>
        <v>858.8</v>
      </c>
      <c r="J138" s="224">
        <v>122835.7</v>
      </c>
      <c r="K138" s="226">
        <f t="shared" si="53"/>
        <v>1.3383341998775427E-3</v>
      </c>
      <c r="L138" s="224">
        <f t="shared" si="46"/>
        <v>26.961071578066136</v>
      </c>
      <c r="M138" s="258"/>
    </row>
    <row r="139" spans="1:13" s="228" customFormat="1" x14ac:dyDescent="0.15">
      <c r="A139" s="221"/>
      <c r="B139" s="222" t="s">
        <v>432</v>
      </c>
      <c r="C139" s="223" t="s">
        <v>438</v>
      </c>
      <c r="D139" s="223" t="s">
        <v>2649</v>
      </c>
      <c r="E139" s="224">
        <v>190.65</v>
      </c>
      <c r="F139" s="222" t="s">
        <v>2535</v>
      </c>
      <c r="G139" s="224">
        <v>3536</v>
      </c>
      <c r="H139" s="225">
        <v>7</v>
      </c>
      <c r="I139" s="224">
        <f t="shared" si="45"/>
        <v>505.14285714285717</v>
      </c>
      <c r="J139" s="224">
        <v>115190</v>
      </c>
      <c r="K139" s="226">
        <f t="shared" si="53"/>
        <v>6.1226902276652069E-4</v>
      </c>
      <c r="L139" s="224">
        <f t="shared" si="46"/>
        <v>18.547075793338578</v>
      </c>
      <c r="M139" s="258"/>
    </row>
    <row r="140" spans="1:13" s="228" customFormat="1" x14ac:dyDescent="0.15">
      <c r="A140" s="221"/>
      <c r="B140" s="222" t="s">
        <v>236</v>
      </c>
      <c r="C140" s="223" t="s">
        <v>600</v>
      </c>
      <c r="D140" s="223" t="s">
        <v>2650</v>
      </c>
      <c r="E140" s="224">
        <v>72.760000000000005</v>
      </c>
      <c r="F140" s="222" t="s">
        <v>2521</v>
      </c>
      <c r="G140" s="224">
        <v>147</v>
      </c>
      <c r="H140" s="225">
        <v>2</v>
      </c>
      <c r="I140" s="224">
        <f t="shared" si="45"/>
        <v>73.5</v>
      </c>
      <c r="J140" s="224">
        <v>34044</v>
      </c>
      <c r="K140" s="226">
        <f t="shared" si="53"/>
        <v>2.5453491613879676E-5</v>
      </c>
      <c r="L140" s="224">
        <f t="shared" si="46"/>
        <v>2.0203408466190211</v>
      </c>
      <c r="M140" s="258"/>
    </row>
    <row r="141" spans="1:13" s="228" customFormat="1" x14ac:dyDescent="0.15">
      <c r="A141" s="221"/>
      <c r="B141" s="222" t="s">
        <v>432</v>
      </c>
      <c r="C141" s="223" t="s">
        <v>332</v>
      </c>
      <c r="D141" s="223" t="s">
        <v>2361</v>
      </c>
      <c r="E141" s="224">
        <v>53.78</v>
      </c>
      <c r="F141" s="222" t="s">
        <v>2319</v>
      </c>
      <c r="G141" s="224">
        <v>2122</v>
      </c>
      <c r="H141" s="225">
        <v>3</v>
      </c>
      <c r="I141" s="224">
        <f t="shared" si="45"/>
        <v>707.33333333333337</v>
      </c>
      <c r="J141" s="224">
        <v>21426</v>
      </c>
      <c r="K141" s="226">
        <f t="shared" si="53"/>
        <v>3.6743067486158282E-4</v>
      </c>
      <c r="L141" s="224">
        <f t="shared" si="46"/>
        <v>39.45704722945333</v>
      </c>
      <c r="M141" s="261"/>
    </row>
    <row r="142" spans="1:13" s="228" customFormat="1" x14ac:dyDescent="0.15">
      <c r="A142" s="221"/>
      <c r="B142" s="222" t="s">
        <v>432</v>
      </c>
      <c r="C142" s="223" t="s">
        <v>591</v>
      </c>
      <c r="D142" s="222" t="s">
        <v>2651</v>
      </c>
      <c r="E142" s="224">
        <v>87.99</v>
      </c>
      <c r="F142" s="222" t="s">
        <v>2521</v>
      </c>
      <c r="G142" s="224">
        <v>6353</v>
      </c>
      <c r="H142" s="225">
        <v>6</v>
      </c>
      <c r="I142" s="224">
        <f t="shared" si="45"/>
        <v>1058.8333333333333</v>
      </c>
      <c r="J142" s="224">
        <v>56446</v>
      </c>
      <c r="K142" s="226">
        <f t="shared" si="53"/>
        <v>1.1000410355304598E-3</v>
      </c>
      <c r="L142" s="224">
        <f t="shared" si="46"/>
        <v>72.201386521195602</v>
      </c>
      <c r="M142" s="261"/>
    </row>
    <row r="143" spans="1:13" s="228" customFormat="1" x14ac:dyDescent="0.15">
      <c r="A143" s="221"/>
      <c r="B143" s="222" t="s">
        <v>432</v>
      </c>
      <c r="C143" s="223" t="s">
        <v>1160</v>
      </c>
      <c r="D143" s="222" t="s">
        <v>2652</v>
      </c>
      <c r="E143" s="224">
        <v>100</v>
      </c>
      <c r="F143" s="222" t="s">
        <v>2521</v>
      </c>
      <c r="G143" s="224">
        <v>3541</v>
      </c>
      <c r="H143" s="225">
        <v>3</v>
      </c>
      <c r="I143" s="224">
        <f t="shared" si="45"/>
        <v>1180.3333333333333</v>
      </c>
      <c r="J143" s="224">
        <v>36730</v>
      </c>
      <c r="K143" s="226">
        <f t="shared" si="53"/>
        <v>6.1313478778740095E-4</v>
      </c>
      <c r="L143" s="224">
        <f t="shared" si="46"/>
        <v>35.409999999999997</v>
      </c>
      <c r="M143" s="261"/>
    </row>
    <row r="144" spans="1:13" s="228" customFormat="1" x14ac:dyDescent="0.15">
      <c r="A144" s="221"/>
      <c r="B144" s="222" t="s">
        <v>661</v>
      </c>
      <c r="C144" s="223" t="s">
        <v>662</v>
      </c>
      <c r="D144" s="222" t="s">
        <v>2653</v>
      </c>
      <c r="E144" s="224">
        <v>137.53</v>
      </c>
      <c r="F144" s="222" t="s">
        <v>2535</v>
      </c>
      <c r="G144" s="224">
        <v>1634</v>
      </c>
      <c r="H144" s="225">
        <v>3</v>
      </c>
      <c r="I144" s="224">
        <f t="shared" si="45"/>
        <v>544.66666666666663</v>
      </c>
      <c r="J144" s="224">
        <v>57642</v>
      </c>
      <c r="K144" s="226">
        <f t="shared" si="53"/>
        <v>2.8293200882366934E-4</v>
      </c>
      <c r="L144" s="224">
        <f t="shared" si="46"/>
        <v>11.881044135824911</v>
      </c>
      <c r="M144" s="261"/>
    </row>
    <row r="145" spans="1:13" s="228" customFormat="1" x14ac:dyDescent="0.15">
      <c r="A145" s="221"/>
      <c r="B145" s="222" t="s">
        <v>236</v>
      </c>
      <c r="C145" s="223" t="s">
        <v>524</v>
      </c>
      <c r="D145" s="223" t="s">
        <v>2654</v>
      </c>
      <c r="E145" s="224">
        <v>73.760000000000005</v>
      </c>
      <c r="F145" s="222" t="s">
        <v>2521</v>
      </c>
      <c r="G145" s="224">
        <v>700</v>
      </c>
      <c r="H145" s="225">
        <v>2</v>
      </c>
      <c r="I145" s="224">
        <f t="shared" si="45"/>
        <v>350</v>
      </c>
      <c r="J145" s="224">
        <v>32963</v>
      </c>
      <c r="K145" s="226">
        <f t="shared" si="53"/>
        <v>1.2120710292323655E-4</v>
      </c>
      <c r="L145" s="224">
        <f t="shared" si="46"/>
        <v>9.4902386117136661</v>
      </c>
      <c r="M145" s="258"/>
    </row>
    <row r="146" spans="1:13" s="228" customFormat="1" x14ac:dyDescent="0.15">
      <c r="A146" s="221"/>
      <c r="B146" s="222" t="s">
        <v>236</v>
      </c>
      <c r="C146" s="223" t="s">
        <v>620</v>
      </c>
      <c r="D146" s="222" t="s">
        <v>2655</v>
      </c>
      <c r="E146" s="224">
        <v>276</v>
      </c>
      <c r="F146" s="222" t="s">
        <v>2521</v>
      </c>
      <c r="G146" s="224">
        <v>30855</v>
      </c>
      <c r="H146" s="225">
        <v>22</v>
      </c>
      <c r="I146" s="224">
        <f t="shared" si="45"/>
        <v>1402.5</v>
      </c>
      <c r="J146" s="224">
        <v>328565</v>
      </c>
      <c r="K146" s="226">
        <f t="shared" si="53"/>
        <v>5.3426359438520912E-3</v>
      </c>
      <c r="L146" s="224">
        <f t="shared" si="46"/>
        <v>111.79347826086956</v>
      </c>
      <c r="M146" s="258"/>
    </row>
    <row r="147" spans="1:13" s="228" customFormat="1" x14ac:dyDescent="0.15">
      <c r="A147" s="221"/>
      <c r="B147" s="222" t="s">
        <v>236</v>
      </c>
      <c r="C147" s="223" t="s">
        <v>883</v>
      </c>
      <c r="D147" s="223" t="s">
        <v>2656</v>
      </c>
      <c r="E147" s="224">
        <v>116.7</v>
      </c>
      <c r="F147" s="222" t="s">
        <v>2521</v>
      </c>
      <c r="G147" s="224">
        <v>4590</v>
      </c>
      <c r="H147" s="225">
        <v>4</v>
      </c>
      <c r="I147" s="224">
        <f t="shared" si="45"/>
        <v>1147.5</v>
      </c>
      <c r="J147" s="224">
        <v>67946</v>
      </c>
      <c r="K147" s="226">
        <f t="shared" si="53"/>
        <v>7.9477228916807969E-4</v>
      </c>
      <c r="L147" s="224">
        <f t="shared" si="46"/>
        <v>39.33161953727506</v>
      </c>
      <c r="M147" s="258"/>
    </row>
    <row r="148" spans="1:13" s="228" customFormat="1" x14ac:dyDescent="0.15">
      <c r="A148" s="221"/>
      <c r="B148" s="222" t="s">
        <v>236</v>
      </c>
      <c r="C148" s="223" t="s">
        <v>1794</v>
      </c>
      <c r="D148" s="223" t="s">
        <v>2657</v>
      </c>
      <c r="E148" s="224">
        <v>85</v>
      </c>
      <c r="F148" s="222" t="s">
        <v>2521</v>
      </c>
      <c r="G148" s="224">
        <v>5567</v>
      </c>
      <c r="H148" s="225">
        <v>7</v>
      </c>
      <c r="I148" s="224">
        <f t="shared" ref="I148" si="56">IF(OR(H148=0,G148=0),0,G148/H148)</f>
        <v>795.28571428571433</v>
      </c>
      <c r="J148" s="224">
        <v>41003</v>
      </c>
      <c r="K148" s="226">
        <f t="shared" si="53"/>
        <v>9.6394277424808271E-4</v>
      </c>
      <c r="L148" s="224">
        <f t="shared" ref="L148" si="57">G148/E148</f>
        <v>65.494117647058829</v>
      </c>
      <c r="M148" s="258"/>
    </row>
    <row r="149" spans="1:13" s="228" customFormat="1" x14ac:dyDescent="0.15">
      <c r="A149" s="221"/>
      <c r="B149" s="222" t="s">
        <v>236</v>
      </c>
      <c r="C149" s="223" t="s">
        <v>1803</v>
      </c>
      <c r="D149" s="223" t="s">
        <v>2639</v>
      </c>
      <c r="E149" s="224">
        <v>239.887</v>
      </c>
      <c r="F149" s="222" t="s">
        <v>2521</v>
      </c>
      <c r="G149" s="224"/>
      <c r="H149" s="225"/>
      <c r="I149" s="224">
        <f t="shared" ref="I149" si="58">IF(OR(H149=0,G149=0),0,G149/H149)</f>
        <v>0</v>
      </c>
      <c r="J149" s="224"/>
      <c r="K149" s="226">
        <f t="shared" si="53"/>
        <v>0</v>
      </c>
      <c r="L149" s="224">
        <f t="shared" ref="L149" si="59">G149/E149</f>
        <v>0</v>
      </c>
      <c r="M149" s="258"/>
    </row>
    <row r="150" spans="1:13" s="228" customFormat="1" x14ac:dyDescent="0.15">
      <c r="A150" s="221"/>
      <c r="B150" s="222" t="s">
        <v>236</v>
      </c>
      <c r="C150" s="223" t="s">
        <v>1799</v>
      </c>
      <c r="D150" s="223" t="s">
        <v>2658</v>
      </c>
      <c r="E150" s="224">
        <v>105</v>
      </c>
      <c r="F150" s="222" t="s">
        <v>2535</v>
      </c>
      <c r="G150" s="224">
        <v>6115</v>
      </c>
      <c r="H150" s="225">
        <v>6</v>
      </c>
      <c r="I150" s="224">
        <f t="shared" ref="I150" si="60">IF(OR(H150=0,G150=0),0,G150/H150)</f>
        <v>1019.1666666666666</v>
      </c>
      <c r="J150" s="224">
        <v>39495</v>
      </c>
      <c r="K150" s="226">
        <f t="shared" si="53"/>
        <v>1.0588306205365594E-3</v>
      </c>
      <c r="L150" s="224">
        <f t="shared" ref="L150" si="61">G150/E150</f>
        <v>58.238095238095241</v>
      </c>
      <c r="M150" s="258"/>
    </row>
    <row r="151" spans="1:13" s="228" customFormat="1" x14ac:dyDescent="0.15">
      <c r="A151" s="221"/>
      <c r="B151" s="222" t="s">
        <v>236</v>
      </c>
      <c r="C151" s="223" t="s">
        <v>788</v>
      </c>
      <c r="D151" s="223" t="s">
        <v>2659</v>
      </c>
      <c r="E151" s="224">
        <v>119.71</v>
      </c>
      <c r="F151" s="222" t="s">
        <v>2521</v>
      </c>
      <c r="G151" s="224">
        <v>1818</v>
      </c>
      <c r="H151" s="225">
        <v>3</v>
      </c>
      <c r="I151" s="224">
        <f t="shared" si="45"/>
        <v>606</v>
      </c>
      <c r="J151" s="224">
        <v>33483</v>
      </c>
      <c r="K151" s="226">
        <f t="shared" si="53"/>
        <v>3.1479216159206291E-4</v>
      </c>
      <c r="L151" s="224">
        <f t="shared" si="46"/>
        <v>15.186701194553505</v>
      </c>
      <c r="M151" s="258"/>
    </row>
    <row r="152" spans="1:13" s="228" customFormat="1" x14ac:dyDescent="0.15">
      <c r="A152" s="221"/>
      <c r="B152" s="222" t="s">
        <v>236</v>
      </c>
      <c r="C152" s="223" t="s">
        <v>1792</v>
      </c>
      <c r="D152" s="223" t="s">
        <v>2660</v>
      </c>
      <c r="E152" s="224">
        <v>100</v>
      </c>
      <c r="F152" s="222" t="s">
        <v>2535</v>
      </c>
      <c r="G152" s="224">
        <v>5116</v>
      </c>
      <c r="H152" s="225">
        <v>8</v>
      </c>
      <c r="I152" s="224">
        <f t="shared" ref="I152" si="62">IF(OR(H152=0,G152=0),0,G152/H152)</f>
        <v>639.5</v>
      </c>
      <c r="J152" s="224">
        <v>45851</v>
      </c>
      <c r="K152" s="226">
        <f t="shared" si="53"/>
        <v>8.8585076936468317E-4</v>
      </c>
      <c r="L152" s="224">
        <f t="shared" ref="L152" si="63">G152/E152</f>
        <v>51.16</v>
      </c>
      <c r="M152" s="258"/>
    </row>
    <row r="153" spans="1:13" s="228" customFormat="1" x14ac:dyDescent="0.15">
      <c r="A153" s="221"/>
      <c r="B153" s="222" t="s">
        <v>236</v>
      </c>
      <c r="C153" s="223" t="s">
        <v>1809</v>
      </c>
      <c r="D153" s="223" t="s">
        <v>2661</v>
      </c>
      <c r="E153" s="224">
        <v>36</v>
      </c>
      <c r="F153" s="222" t="s">
        <v>2535</v>
      </c>
      <c r="G153" s="224">
        <v>1431</v>
      </c>
      <c r="H153" s="225">
        <v>7</v>
      </c>
      <c r="I153" s="224">
        <f t="shared" ref="I153" si="64">IF(OR(H153=0,G153=0),0,G153/H153)</f>
        <v>204.42857142857142</v>
      </c>
      <c r="J153" s="224">
        <v>34119</v>
      </c>
      <c r="K153" s="226">
        <f t="shared" si="53"/>
        <v>2.4778194897593075E-4</v>
      </c>
      <c r="L153" s="224">
        <f t="shared" ref="L153" si="65">G153/E153</f>
        <v>39.75</v>
      </c>
      <c r="M153" s="258"/>
    </row>
    <row r="154" spans="1:13" s="228" customFormat="1" x14ac:dyDescent="0.15">
      <c r="A154" s="221"/>
      <c r="B154" s="222" t="s">
        <v>236</v>
      </c>
      <c r="C154" s="223" t="s">
        <v>1842</v>
      </c>
      <c r="D154" s="223" t="s">
        <v>2662</v>
      </c>
      <c r="E154" s="224">
        <v>103</v>
      </c>
      <c r="F154" s="222" t="s">
        <v>2521</v>
      </c>
      <c r="G154" s="224">
        <v>4719</v>
      </c>
      <c r="H154" s="225">
        <v>5</v>
      </c>
      <c r="I154" s="224">
        <f t="shared" ref="I154" si="66">IF(OR(H154=0,G154=0),0,G154/H154)</f>
        <v>943.8</v>
      </c>
      <c r="J154" s="224">
        <v>33377</v>
      </c>
      <c r="K154" s="226">
        <f t="shared" si="53"/>
        <v>8.1710902670679042E-4</v>
      </c>
      <c r="L154" s="224">
        <f t="shared" ref="L154" si="67">G154/E154</f>
        <v>45.815533980582522</v>
      </c>
      <c r="M154" s="258"/>
    </row>
    <row r="155" spans="1:13" s="228" customFormat="1" x14ac:dyDescent="0.15">
      <c r="A155" s="221"/>
      <c r="B155" s="222" t="s">
        <v>432</v>
      </c>
      <c r="C155" s="223" t="s">
        <v>439</v>
      </c>
      <c r="D155" s="223" t="s">
        <v>2663</v>
      </c>
      <c r="E155" s="224">
        <v>67.989999999999995</v>
      </c>
      <c r="F155" s="222" t="s">
        <v>2540</v>
      </c>
      <c r="G155" s="224">
        <v>1357.3</v>
      </c>
      <c r="H155" s="225">
        <v>2</v>
      </c>
      <c r="I155" s="224">
        <f t="shared" si="45"/>
        <v>678.65</v>
      </c>
      <c r="J155" s="224">
        <v>47956.7</v>
      </c>
      <c r="K155" s="226">
        <f t="shared" si="53"/>
        <v>2.3502057256815566E-4</v>
      </c>
      <c r="L155" s="224">
        <f t="shared" si="46"/>
        <v>19.963229886748053</v>
      </c>
      <c r="M155" s="258"/>
    </row>
    <row r="156" spans="1:13" s="228" customFormat="1" x14ac:dyDescent="0.15">
      <c r="A156" s="221"/>
      <c r="B156" s="222" t="s">
        <v>432</v>
      </c>
      <c r="C156" s="223" t="s">
        <v>440</v>
      </c>
      <c r="D156" s="223" t="s">
        <v>2664</v>
      </c>
      <c r="E156" s="224">
        <v>370</v>
      </c>
      <c r="F156" s="222" t="s">
        <v>2517</v>
      </c>
      <c r="G156" s="224">
        <v>12015.5</v>
      </c>
      <c r="H156" s="225">
        <v>101</v>
      </c>
      <c r="I156" s="224">
        <f t="shared" si="45"/>
        <v>118.96534653465346</v>
      </c>
      <c r="J156" s="224">
        <v>141136.4</v>
      </c>
      <c r="K156" s="226">
        <f t="shared" si="53"/>
        <v>2.0805199216773554E-3</v>
      </c>
      <c r="L156" s="224">
        <f t="shared" si="46"/>
        <v>32.474324324324321</v>
      </c>
      <c r="M156" s="261"/>
    </row>
    <row r="157" spans="1:13" s="228" customFormat="1" x14ac:dyDescent="0.15">
      <c r="A157" s="221"/>
      <c r="B157" s="222" t="s">
        <v>236</v>
      </c>
      <c r="C157" s="223" t="s">
        <v>308</v>
      </c>
      <c r="D157" s="223" t="s">
        <v>2665</v>
      </c>
      <c r="E157" s="224">
        <v>126.69</v>
      </c>
      <c r="F157" s="222" t="s">
        <v>2521</v>
      </c>
      <c r="G157" s="224">
        <v>1957</v>
      </c>
      <c r="H157" s="225">
        <v>4</v>
      </c>
      <c r="I157" s="224">
        <f t="shared" si="45"/>
        <v>489.25</v>
      </c>
      <c r="J157" s="224">
        <v>99651</v>
      </c>
      <c r="K157" s="226">
        <f t="shared" si="53"/>
        <v>3.3886042917253417E-4</v>
      </c>
      <c r="L157" s="224">
        <f t="shared" si="46"/>
        <v>15.447154471544716</v>
      </c>
      <c r="M157" s="258"/>
    </row>
    <row r="158" spans="1:13" s="228" customFormat="1" x14ac:dyDescent="0.15">
      <c r="A158" s="221"/>
      <c r="B158" s="222" t="s">
        <v>236</v>
      </c>
      <c r="C158" s="239" t="s">
        <v>441</v>
      </c>
      <c r="D158" s="223" t="s">
        <v>2666</v>
      </c>
      <c r="E158" s="224">
        <v>12.47</v>
      </c>
      <c r="F158" s="222" t="s">
        <v>2569</v>
      </c>
      <c r="G158" s="224">
        <v>260</v>
      </c>
      <c r="H158" s="225">
        <v>2</v>
      </c>
      <c r="I158" s="224">
        <f t="shared" si="45"/>
        <v>130</v>
      </c>
      <c r="J158" s="224">
        <v>4010</v>
      </c>
      <c r="K158" s="226">
        <f t="shared" si="53"/>
        <v>4.5019781085773579E-5</v>
      </c>
      <c r="L158" s="224">
        <f t="shared" si="46"/>
        <v>20.850040096230952</v>
      </c>
      <c r="M158" s="261"/>
    </row>
    <row r="159" spans="1:13" s="228" customFormat="1" x14ac:dyDescent="0.15">
      <c r="A159" s="221"/>
      <c r="B159" s="222" t="s">
        <v>236</v>
      </c>
      <c r="C159" s="239" t="s">
        <v>442</v>
      </c>
      <c r="D159" s="223" t="s">
        <v>2320</v>
      </c>
      <c r="E159" s="224">
        <v>21.93</v>
      </c>
      <c r="F159" s="222" t="s">
        <v>2319</v>
      </c>
      <c r="G159" s="224">
        <v>360</v>
      </c>
      <c r="H159" s="225">
        <v>13</v>
      </c>
      <c r="I159" s="224">
        <f t="shared" si="45"/>
        <v>27.692307692307693</v>
      </c>
      <c r="J159" s="224">
        <v>3390</v>
      </c>
      <c r="K159" s="226">
        <f t="shared" si="53"/>
        <v>6.2335081503378799E-5</v>
      </c>
      <c r="L159" s="224">
        <f t="shared" si="46"/>
        <v>16.415868673050614</v>
      </c>
      <c r="M159" s="261"/>
    </row>
    <row r="160" spans="1:13" s="228" customFormat="1" x14ac:dyDescent="0.15">
      <c r="A160" s="221"/>
      <c r="B160" s="222" t="s">
        <v>236</v>
      </c>
      <c r="C160" s="239" t="s">
        <v>1838</v>
      </c>
      <c r="D160" s="223" t="s">
        <v>2667</v>
      </c>
      <c r="E160" s="224">
        <v>86.5</v>
      </c>
      <c r="F160" s="222" t="s">
        <v>2535</v>
      </c>
      <c r="G160" s="224">
        <v>5060</v>
      </c>
      <c r="H160" s="225">
        <v>4</v>
      </c>
      <c r="I160" s="224">
        <f t="shared" ref="I160" si="68">IF(OR(H160=0,G160=0),0,G160/H160)</f>
        <v>1265</v>
      </c>
      <c r="J160" s="224">
        <v>44372</v>
      </c>
      <c r="K160" s="226">
        <f t="shared" si="53"/>
        <v>8.7615420113082421E-4</v>
      </c>
      <c r="L160" s="224">
        <f t="shared" ref="L160" si="69">G160/E160</f>
        <v>58.497109826589593</v>
      </c>
      <c r="M160" s="261"/>
    </row>
    <row r="161" spans="1:13" s="228" customFormat="1" x14ac:dyDescent="0.15">
      <c r="A161" s="221"/>
      <c r="B161" s="222" t="s">
        <v>236</v>
      </c>
      <c r="C161" s="239" t="s">
        <v>333</v>
      </c>
      <c r="D161" s="223" t="s">
        <v>2668</v>
      </c>
      <c r="E161" s="224">
        <v>119.76</v>
      </c>
      <c r="F161" s="222" t="s">
        <v>2521</v>
      </c>
      <c r="G161" s="224">
        <v>25682</v>
      </c>
      <c r="H161" s="225">
        <v>29</v>
      </c>
      <c r="I161" s="224">
        <f t="shared" si="45"/>
        <v>885.58620689655174</v>
      </c>
      <c r="J161" s="224">
        <v>183137</v>
      </c>
      <c r="K161" s="226">
        <f t="shared" si="53"/>
        <v>4.446915453249373E-3</v>
      </c>
      <c r="L161" s="224">
        <f t="shared" si="46"/>
        <v>214.44555778223111</v>
      </c>
      <c r="M161" s="261"/>
    </row>
    <row r="162" spans="1:13" s="228" customFormat="1" x14ac:dyDescent="0.15">
      <c r="A162" s="221"/>
      <c r="B162" s="222" t="s">
        <v>236</v>
      </c>
      <c r="C162" s="239" t="s">
        <v>334</v>
      </c>
      <c r="D162" s="223" t="s">
        <v>2321</v>
      </c>
      <c r="E162" s="224">
        <v>120.12</v>
      </c>
      <c r="F162" s="222" t="s">
        <v>2669</v>
      </c>
      <c r="G162" s="224">
        <v>4942</v>
      </c>
      <c r="H162" s="225">
        <v>4</v>
      </c>
      <c r="I162" s="224">
        <f t="shared" si="45"/>
        <v>1235.5</v>
      </c>
      <c r="J162" s="224">
        <v>58751</v>
      </c>
      <c r="K162" s="226">
        <f t="shared" si="53"/>
        <v>8.5572214663805007E-4</v>
      </c>
      <c r="L162" s="224">
        <f t="shared" si="46"/>
        <v>41.142191142191137</v>
      </c>
      <c r="M162" s="258"/>
    </row>
    <row r="163" spans="1:13" s="228" customFormat="1" x14ac:dyDescent="0.15">
      <c r="A163" s="221"/>
      <c r="B163" s="222" t="s">
        <v>236</v>
      </c>
      <c r="C163" s="239" t="s">
        <v>1715</v>
      </c>
      <c r="D163" s="223" t="s">
        <v>2670</v>
      </c>
      <c r="E163" s="224">
        <v>70</v>
      </c>
      <c r="F163" s="222" t="s">
        <v>2521</v>
      </c>
      <c r="G163" s="224">
        <v>3878</v>
      </c>
      <c r="H163" s="225">
        <v>16</v>
      </c>
      <c r="I163" s="224">
        <f t="shared" ref="I163" si="70">IF(OR(H163=0,G163=0),0,G163/H163)</f>
        <v>242.375</v>
      </c>
      <c r="J163" s="224">
        <v>37824</v>
      </c>
      <c r="K163" s="226">
        <f t="shared" si="53"/>
        <v>6.7148735019473054E-4</v>
      </c>
      <c r="L163" s="224">
        <f t="shared" ref="L163" si="71">G163/E163</f>
        <v>55.4</v>
      </c>
      <c r="M163" s="258"/>
    </row>
    <row r="164" spans="1:13" s="228" customFormat="1" x14ac:dyDescent="0.15">
      <c r="A164" s="221"/>
      <c r="B164" s="222" t="s">
        <v>236</v>
      </c>
      <c r="C164" s="239" t="s">
        <v>335</v>
      </c>
      <c r="D164" s="223" t="s">
        <v>2671</v>
      </c>
      <c r="E164" s="224">
        <v>242.24</v>
      </c>
      <c r="F164" s="222" t="s">
        <v>2521</v>
      </c>
      <c r="G164" s="224">
        <v>9571.7000000000007</v>
      </c>
      <c r="H164" s="225">
        <v>16</v>
      </c>
      <c r="I164" s="224">
        <f t="shared" si="45"/>
        <v>598.23125000000005</v>
      </c>
      <c r="J164" s="224">
        <v>82892.5</v>
      </c>
      <c r="K164" s="226">
        <f t="shared" si="53"/>
        <v>1.6573686100719192E-3</v>
      </c>
      <c r="L164" s="224">
        <f t="shared" si="46"/>
        <v>39.51329260237781</v>
      </c>
      <c r="M164" s="258"/>
    </row>
    <row r="165" spans="1:13" s="228" customFormat="1" x14ac:dyDescent="0.15">
      <c r="A165" s="221"/>
      <c r="B165" s="222" t="s">
        <v>236</v>
      </c>
      <c r="C165" s="239" t="s">
        <v>773</v>
      </c>
      <c r="D165" s="223" t="s">
        <v>2672</v>
      </c>
      <c r="E165" s="224">
        <v>96.77</v>
      </c>
      <c r="F165" s="222" t="s">
        <v>2535</v>
      </c>
      <c r="G165" s="224">
        <v>4323</v>
      </c>
      <c r="H165" s="225">
        <v>6</v>
      </c>
      <c r="I165" s="224">
        <f t="shared" si="45"/>
        <v>720.5</v>
      </c>
      <c r="J165" s="224">
        <v>20566</v>
      </c>
      <c r="K165" s="226">
        <f t="shared" si="53"/>
        <v>7.4854043705307376E-4</v>
      </c>
      <c r="L165" s="224">
        <f t="shared" si="46"/>
        <v>44.672935827219185</v>
      </c>
      <c r="M165" s="258"/>
    </row>
    <row r="166" spans="1:13" s="228" customFormat="1" x14ac:dyDescent="0.15">
      <c r="A166" s="221"/>
      <c r="B166" s="222" t="s">
        <v>236</v>
      </c>
      <c r="C166" s="239" t="s">
        <v>443</v>
      </c>
      <c r="D166" s="223" t="s">
        <v>2673</v>
      </c>
      <c r="E166" s="224">
        <v>320.58999999999997</v>
      </c>
      <c r="F166" s="222" t="s">
        <v>2674</v>
      </c>
      <c r="G166" s="224">
        <v>30985</v>
      </c>
      <c r="H166" s="225">
        <v>201</v>
      </c>
      <c r="I166" s="224">
        <f t="shared" si="45"/>
        <v>154.15422885572139</v>
      </c>
      <c r="J166" s="224">
        <v>315402</v>
      </c>
      <c r="K166" s="226">
        <f t="shared" si="53"/>
        <v>5.3651458343949784E-3</v>
      </c>
      <c r="L166" s="224">
        <f t="shared" si="46"/>
        <v>96.64992669765121</v>
      </c>
      <c r="M166" s="258"/>
    </row>
    <row r="167" spans="1:13" s="228" customFormat="1" x14ac:dyDescent="0.15">
      <c r="A167" s="221"/>
      <c r="B167" s="222" t="s">
        <v>236</v>
      </c>
      <c r="C167" s="239" t="s">
        <v>1003</v>
      </c>
      <c r="D167" s="223" t="s">
        <v>2675</v>
      </c>
      <c r="E167" s="224">
        <v>1905</v>
      </c>
      <c r="F167" s="222" t="s">
        <v>2535</v>
      </c>
      <c r="G167" s="224">
        <v>111569</v>
      </c>
      <c r="H167" s="225">
        <v>499</v>
      </c>
      <c r="I167" s="224">
        <f t="shared" si="45"/>
        <v>223.58517034068137</v>
      </c>
      <c r="J167" s="224">
        <v>1395384</v>
      </c>
      <c r="K167" s="226">
        <f t="shared" ref="K167:K198" si="72">G167/$G$527</f>
        <v>1.9318507522917971E-2</v>
      </c>
      <c r="L167" s="224">
        <f t="shared" si="46"/>
        <v>58.566404199475066</v>
      </c>
      <c r="M167" s="258"/>
    </row>
    <row r="168" spans="1:13" s="228" customFormat="1" x14ac:dyDescent="0.15">
      <c r="A168" s="221"/>
      <c r="B168" s="222" t="s">
        <v>236</v>
      </c>
      <c r="C168" s="239" t="s">
        <v>893</v>
      </c>
      <c r="D168" s="223" t="s">
        <v>2676</v>
      </c>
      <c r="E168" s="224">
        <v>111.4</v>
      </c>
      <c r="F168" s="222" t="s">
        <v>2521</v>
      </c>
      <c r="G168" s="224">
        <v>6949</v>
      </c>
      <c r="H168" s="225">
        <v>15</v>
      </c>
      <c r="I168" s="224">
        <f t="shared" si="45"/>
        <v>463.26666666666665</v>
      </c>
      <c r="J168" s="224">
        <v>85440</v>
      </c>
      <c r="K168" s="226">
        <f t="shared" si="72"/>
        <v>1.203240226019387E-3</v>
      </c>
      <c r="L168" s="224">
        <f t="shared" si="46"/>
        <v>62.378815080789941</v>
      </c>
      <c r="M168" s="258"/>
    </row>
    <row r="169" spans="1:13" s="228" customFormat="1" x14ac:dyDescent="0.15">
      <c r="A169" s="221"/>
      <c r="B169" s="222" t="s">
        <v>236</v>
      </c>
      <c r="C169" s="239" t="s">
        <v>852</v>
      </c>
      <c r="D169" s="223" t="s">
        <v>2677</v>
      </c>
      <c r="E169" s="224">
        <v>103.01</v>
      </c>
      <c r="F169" s="222" t="s">
        <v>2521</v>
      </c>
      <c r="G169" s="224">
        <v>1560</v>
      </c>
      <c r="H169" s="225">
        <v>2</v>
      </c>
      <c r="I169" s="224">
        <f t="shared" si="45"/>
        <v>780</v>
      </c>
      <c r="J169" s="224">
        <v>26375.200000000001</v>
      </c>
      <c r="K169" s="226">
        <f t="shared" si="72"/>
        <v>2.7011868651464149E-4</v>
      </c>
      <c r="L169" s="224">
        <f t="shared" si="46"/>
        <v>15.144160761091156</v>
      </c>
      <c r="M169" s="258"/>
    </row>
    <row r="170" spans="1:13" s="228" customFormat="1" x14ac:dyDescent="0.15">
      <c r="A170" s="221"/>
      <c r="B170" s="222" t="s">
        <v>236</v>
      </c>
      <c r="C170" s="239" t="s">
        <v>843</v>
      </c>
      <c r="D170" s="223" t="s">
        <v>2678</v>
      </c>
      <c r="E170" s="224">
        <v>111.92</v>
      </c>
      <c r="F170" s="222" t="s">
        <v>2521</v>
      </c>
      <c r="G170" s="224">
        <v>11758</v>
      </c>
      <c r="H170" s="225">
        <v>5</v>
      </c>
      <c r="I170" s="224">
        <f t="shared" si="45"/>
        <v>2351.6</v>
      </c>
      <c r="J170" s="224">
        <v>53403</v>
      </c>
      <c r="K170" s="226">
        <f t="shared" si="72"/>
        <v>2.0359330231020222E-3</v>
      </c>
      <c r="L170" s="224">
        <f t="shared" si="46"/>
        <v>105.05718370264475</v>
      </c>
      <c r="M170" s="258"/>
    </row>
    <row r="171" spans="1:13" s="228" customFormat="1" x14ac:dyDescent="0.15">
      <c r="A171" s="221"/>
      <c r="B171" s="222" t="s">
        <v>236</v>
      </c>
      <c r="C171" s="239" t="s">
        <v>795</v>
      </c>
      <c r="D171" s="223" t="s">
        <v>2679</v>
      </c>
      <c r="E171" s="224">
        <v>121</v>
      </c>
      <c r="F171" s="222" t="s">
        <v>2521</v>
      </c>
      <c r="G171" s="224">
        <v>7618</v>
      </c>
      <c r="H171" s="225">
        <v>9</v>
      </c>
      <c r="I171" s="224">
        <f t="shared" si="45"/>
        <v>846.44444444444446</v>
      </c>
      <c r="J171" s="224">
        <v>59885</v>
      </c>
      <c r="K171" s="226">
        <f t="shared" si="72"/>
        <v>1.3190795858131659E-3</v>
      </c>
      <c r="L171" s="224">
        <f t="shared" si="46"/>
        <v>62.958677685950413</v>
      </c>
      <c r="M171" s="258"/>
    </row>
    <row r="172" spans="1:13" s="228" customFormat="1" x14ac:dyDescent="0.15">
      <c r="A172" s="221"/>
      <c r="B172" s="222" t="s">
        <v>236</v>
      </c>
      <c r="C172" s="239" t="s">
        <v>803</v>
      </c>
      <c r="D172" s="223" t="s">
        <v>2680</v>
      </c>
      <c r="E172" s="224">
        <v>83</v>
      </c>
      <c r="F172" s="222" t="s">
        <v>2535</v>
      </c>
      <c r="G172" s="224">
        <v>4990</v>
      </c>
      <c r="H172" s="225">
        <v>4</v>
      </c>
      <c r="I172" s="224">
        <f t="shared" si="45"/>
        <v>1247.5</v>
      </c>
      <c r="J172" s="224">
        <v>47896</v>
      </c>
      <c r="K172" s="226">
        <f t="shared" si="72"/>
        <v>8.6403349083850054E-4</v>
      </c>
      <c r="L172" s="224">
        <f t="shared" si="46"/>
        <v>60.120481927710841</v>
      </c>
      <c r="M172" s="258"/>
    </row>
    <row r="173" spans="1:13" s="228" customFormat="1" x14ac:dyDescent="0.15">
      <c r="A173" s="221"/>
      <c r="B173" s="222" t="s">
        <v>236</v>
      </c>
      <c r="C173" s="239" t="s">
        <v>199</v>
      </c>
      <c r="D173" s="223" t="s">
        <v>2681</v>
      </c>
      <c r="E173" s="224">
        <v>19.09</v>
      </c>
      <c r="F173" s="222" t="s">
        <v>2557</v>
      </c>
      <c r="G173" s="224">
        <v>4919</v>
      </c>
      <c r="H173" s="225">
        <v>5</v>
      </c>
      <c r="I173" s="224">
        <f t="shared" si="45"/>
        <v>983.8</v>
      </c>
      <c r="J173" s="224">
        <v>44526</v>
      </c>
      <c r="K173" s="226">
        <f t="shared" si="72"/>
        <v>8.5173962754200091E-4</v>
      </c>
      <c r="L173" s="224">
        <f t="shared" si="46"/>
        <v>257.67417496071243</v>
      </c>
      <c r="M173" s="258"/>
    </row>
    <row r="174" spans="1:13" s="228" customFormat="1" x14ac:dyDescent="0.15">
      <c r="A174" s="221"/>
      <c r="B174" s="222" t="s">
        <v>236</v>
      </c>
      <c r="C174" s="239" t="s">
        <v>336</v>
      </c>
      <c r="D174" s="223" t="s">
        <v>2682</v>
      </c>
      <c r="E174" s="224">
        <v>20</v>
      </c>
      <c r="F174" s="222" t="s">
        <v>2515</v>
      </c>
      <c r="G174" s="224">
        <v>600</v>
      </c>
      <c r="H174" s="225">
        <v>7</v>
      </c>
      <c r="I174" s="224">
        <f t="shared" si="45"/>
        <v>85.714285714285708</v>
      </c>
      <c r="J174" s="224">
        <v>16140</v>
      </c>
      <c r="K174" s="226">
        <f t="shared" si="72"/>
        <v>1.0389180250563134E-4</v>
      </c>
      <c r="L174" s="224">
        <f t="shared" si="46"/>
        <v>30</v>
      </c>
      <c r="M174" s="258"/>
    </row>
    <row r="175" spans="1:13" s="228" customFormat="1" x14ac:dyDescent="0.15">
      <c r="A175" s="221"/>
      <c r="B175" s="222" t="s">
        <v>236</v>
      </c>
      <c r="C175" s="239" t="s">
        <v>337</v>
      </c>
      <c r="D175" s="223" t="s">
        <v>2683</v>
      </c>
      <c r="E175" s="224">
        <v>20</v>
      </c>
      <c r="F175" s="222" t="s">
        <v>2540</v>
      </c>
      <c r="G175" s="224">
        <v>977</v>
      </c>
      <c r="H175" s="225">
        <v>8</v>
      </c>
      <c r="I175" s="224">
        <f t="shared" si="45"/>
        <v>122.125</v>
      </c>
      <c r="J175" s="224">
        <v>14942</v>
      </c>
      <c r="K175" s="226">
        <f t="shared" si="72"/>
        <v>1.6917048508000303E-4</v>
      </c>
      <c r="L175" s="224">
        <f t="shared" si="46"/>
        <v>48.85</v>
      </c>
      <c r="M175" s="261"/>
    </row>
    <row r="176" spans="1:13" s="228" customFormat="1" x14ac:dyDescent="0.15">
      <c r="A176" s="221"/>
      <c r="B176" s="222" t="s">
        <v>236</v>
      </c>
      <c r="C176" s="239" t="s">
        <v>338</v>
      </c>
      <c r="D176" s="223" t="s">
        <v>2684</v>
      </c>
      <c r="E176" s="224">
        <v>20</v>
      </c>
      <c r="F176" s="222" t="s">
        <v>2519</v>
      </c>
      <c r="G176" s="224">
        <v>886</v>
      </c>
      <c r="H176" s="225">
        <v>5</v>
      </c>
      <c r="I176" s="224">
        <f t="shared" si="45"/>
        <v>177.2</v>
      </c>
      <c r="J176" s="224">
        <v>9053</v>
      </c>
      <c r="K176" s="226">
        <f t="shared" si="72"/>
        <v>1.5341356169998227E-4</v>
      </c>
      <c r="L176" s="224">
        <f t="shared" si="46"/>
        <v>44.3</v>
      </c>
      <c r="M176" s="261"/>
    </row>
    <row r="177" spans="1:13" s="228" customFormat="1" x14ac:dyDescent="0.15">
      <c r="A177" s="221"/>
      <c r="B177" s="222" t="s">
        <v>236</v>
      </c>
      <c r="C177" s="223" t="s">
        <v>444</v>
      </c>
      <c r="D177" s="223" t="s">
        <v>2685</v>
      </c>
      <c r="E177" s="224">
        <v>30</v>
      </c>
      <c r="F177" s="222" t="s">
        <v>2517</v>
      </c>
      <c r="G177" s="224">
        <v>2150</v>
      </c>
      <c r="H177" s="225">
        <v>62</v>
      </c>
      <c r="I177" s="224">
        <f t="shared" si="45"/>
        <v>34.677419354838712</v>
      </c>
      <c r="J177" s="224">
        <v>22349</v>
      </c>
      <c r="K177" s="226">
        <f t="shared" si="72"/>
        <v>3.722789589785123E-4</v>
      </c>
      <c r="L177" s="224">
        <f t="shared" si="46"/>
        <v>71.666666666666671</v>
      </c>
      <c r="M177" s="261"/>
    </row>
    <row r="178" spans="1:13" s="228" customFormat="1" x14ac:dyDescent="0.15">
      <c r="A178" s="221"/>
      <c r="B178" s="222" t="s">
        <v>236</v>
      </c>
      <c r="C178" s="223" t="s">
        <v>693</v>
      </c>
      <c r="D178" s="222" t="s">
        <v>2686</v>
      </c>
      <c r="E178" s="224">
        <v>12</v>
      </c>
      <c r="F178" s="222" t="s">
        <v>2687</v>
      </c>
      <c r="G178" s="224">
        <v>1017</v>
      </c>
      <c r="H178" s="225">
        <v>10</v>
      </c>
      <c r="I178" s="224">
        <f t="shared" si="45"/>
        <v>101.7</v>
      </c>
      <c r="J178" s="224">
        <v>7206</v>
      </c>
      <c r="K178" s="226">
        <f t="shared" si="72"/>
        <v>1.760966052470451E-4</v>
      </c>
      <c r="L178" s="224">
        <f t="shared" si="46"/>
        <v>84.75</v>
      </c>
      <c r="M178" s="261"/>
    </row>
    <row r="179" spans="1:13" s="228" customFormat="1" x14ac:dyDescent="0.15">
      <c r="A179" s="221"/>
      <c r="B179" s="222" t="s">
        <v>236</v>
      </c>
      <c r="C179" s="222" t="s">
        <v>700</v>
      </c>
      <c r="D179" s="222" t="s">
        <v>2688</v>
      </c>
      <c r="E179" s="224">
        <v>20</v>
      </c>
      <c r="F179" s="222" t="s">
        <v>2519</v>
      </c>
      <c r="G179" s="224">
        <v>352</v>
      </c>
      <c r="H179" s="225">
        <v>2</v>
      </c>
      <c r="I179" s="224">
        <f t="shared" si="45"/>
        <v>176</v>
      </c>
      <c r="J179" s="224">
        <v>3679</v>
      </c>
      <c r="K179" s="226">
        <f t="shared" si="72"/>
        <v>6.0949857469970383E-5</v>
      </c>
      <c r="L179" s="224">
        <f t="shared" si="46"/>
        <v>17.600000000000001</v>
      </c>
      <c r="M179" s="261"/>
    </row>
    <row r="180" spans="1:13" s="228" customFormat="1" x14ac:dyDescent="0.15">
      <c r="A180" s="221"/>
      <c r="B180" s="222" t="s">
        <v>236</v>
      </c>
      <c r="C180" s="222" t="s">
        <v>711</v>
      </c>
      <c r="D180" s="222" t="s">
        <v>2689</v>
      </c>
      <c r="E180" s="224">
        <v>20</v>
      </c>
      <c r="F180" s="222" t="s">
        <v>2597</v>
      </c>
      <c r="G180" s="224"/>
      <c r="H180" s="225"/>
      <c r="I180" s="224">
        <f t="shared" si="45"/>
        <v>0</v>
      </c>
      <c r="J180" s="224">
        <v>7238</v>
      </c>
      <c r="K180" s="226">
        <f t="shared" si="72"/>
        <v>0</v>
      </c>
      <c r="L180" s="224">
        <f t="shared" si="46"/>
        <v>0</v>
      </c>
      <c r="M180" s="261"/>
    </row>
    <row r="181" spans="1:13" s="228" customFormat="1" x14ac:dyDescent="0.15">
      <c r="A181" s="221"/>
      <c r="B181" s="222" t="s">
        <v>236</v>
      </c>
      <c r="C181" s="222" t="s">
        <v>702</v>
      </c>
      <c r="D181" s="222" t="s">
        <v>2690</v>
      </c>
      <c r="E181" s="224">
        <v>20</v>
      </c>
      <c r="F181" s="222" t="s">
        <v>2540</v>
      </c>
      <c r="G181" s="224"/>
      <c r="H181" s="225"/>
      <c r="I181" s="224">
        <f t="shared" si="45"/>
        <v>0</v>
      </c>
      <c r="J181" s="224"/>
      <c r="K181" s="226">
        <f t="shared" si="72"/>
        <v>0</v>
      </c>
      <c r="L181" s="224">
        <f t="shared" si="46"/>
        <v>0</v>
      </c>
      <c r="M181" s="261"/>
    </row>
    <row r="182" spans="1:13" s="228" customFormat="1" x14ac:dyDescent="0.15">
      <c r="A182" s="221"/>
      <c r="B182" s="222" t="s">
        <v>236</v>
      </c>
      <c r="C182" s="222" t="s">
        <v>896</v>
      </c>
      <c r="D182" s="222" t="s">
        <v>2691</v>
      </c>
      <c r="E182" s="224">
        <v>16</v>
      </c>
      <c r="F182" s="222" t="s">
        <v>2540</v>
      </c>
      <c r="G182" s="224"/>
      <c r="H182" s="225"/>
      <c r="I182" s="224">
        <f t="shared" si="45"/>
        <v>0</v>
      </c>
      <c r="J182" s="224">
        <v>7561</v>
      </c>
      <c r="K182" s="226">
        <f t="shared" si="72"/>
        <v>0</v>
      </c>
      <c r="L182" s="224">
        <f t="shared" si="46"/>
        <v>0</v>
      </c>
      <c r="M182" s="261"/>
    </row>
    <row r="183" spans="1:13" s="228" customFormat="1" x14ac:dyDescent="0.15">
      <c r="A183" s="221"/>
      <c r="B183" s="222" t="s">
        <v>236</v>
      </c>
      <c r="C183" s="222" t="s">
        <v>1120</v>
      </c>
      <c r="D183" s="222" t="s">
        <v>2692</v>
      </c>
      <c r="E183" s="224">
        <v>49.5</v>
      </c>
      <c r="F183" s="222" t="s">
        <v>2517</v>
      </c>
      <c r="G183" s="224">
        <v>1860</v>
      </c>
      <c r="H183" s="225">
        <v>50</v>
      </c>
      <c r="I183" s="224">
        <f t="shared" ref="I183:I185" si="73">IF(OR(H183=0,G183=0),0,G183/H183)</f>
        <v>37.200000000000003</v>
      </c>
      <c r="J183" s="224">
        <v>19841</v>
      </c>
      <c r="K183" s="226">
        <f t="shared" si="72"/>
        <v>3.2206458776745715E-4</v>
      </c>
      <c r="L183" s="224">
        <f t="shared" ref="L183:L185" si="74">G183/E183</f>
        <v>37.575757575757578</v>
      </c>
      <c r="M183" s="261"/>
    </row>
    <row r="184" spans="1:13" s="228" customFormat="1" x14ac:dyDescent="0.15">
      <c r="A184" s="221"/>
      <c r="B184" s="222" t="s">
        <v>236</v>
      </c>
      <c r="C184" s="222" t="s">
        <v>1111</v>
      </c>
      <c r="D184" s="222" t="s">
        <v>2693</v>
      </c>
      <c r="E184" s="224">
        <v>20</v>
      </c>
      <c r="F184" s="222" t="s">
        <v>2557</v>
      </c>
      <c r="G184" s="224">
        <v>299</v>
      </c>
      <c r="H184" s="225">
        <v>1</v>
      </c>
      <c r="I184" s="224">
        <f t="shared" si="73"/>
        <v>299</v>
      </c>
      <c r="J184" s="224">
        <v>4348</v>
      </c>
      <c r="K184" s="226">
        <f t="shared" si="72"/>
        <v>5.1772748248639614E-5</v>
      </c>
      <c r="L184" s="224">
        <f t="shared" si="74"/>
        <v>14.95</v>
      </c>
      <c r="M184" s="261"/>
    </row>
    <row r="185" spans="1:13" s="228" customFormat="1" x14ac:dyDescent="0.15">
      <c r="A185" s="221"/>
      <c r="B185" s="222" t="s">
        <v>236</v>
      </c>
      <c r="C185" s="222" t="s">
        <v>1137</v>
      </c>
      <c r="D185" s="222" t="s">
        <v>2694</v>
      </c>
      <c r="E185" s="224">
        <v>12</v>
      </c>
      <c r="F185" s="222" t="s">
        <v>2515</v>
      </c>
      <c r="G185" s="224"/>
      <c r="H185" s="225"/>
      <c r="I185" s="224">
        <f t="shared" si="73"/>
        <v>0</v>
      </c>
      <c r="J185" s="224"/>
      <c r="K185" s="226">
        <f t="shared" si="72"/>
        <v>0</v>
      </c>
      <c r="L185" s="224">
        <f t="shared" si="74"/>
        <v>0</v>
      </c>
      <c r="M185" s="261"/>
    </row>
    <row r="186" spans="1:13" s="228" customFormat="1" x14ac:dyDescent="0.15">
      <c r="A186" s="221"/>
      <c r="B186" s="222" t="s">
        <v>236</v>
      </c>
      <c r="C186" s="222" t="s">
        <v>1621</v>
      </c>
      <c r="D186" s="222" t="s">
        <v>2695</v>
      </c>
      <c r="E186" s="224">
        <v>20</v>
      </c>
      <c r="F186" s="222" t="s">
        <v>2521</v>
      </c>
      <c r="G186" s="224">
        <v>1118</v>
      </c>
      <c r="H186" s="225">
        <v>10</v>
      </c>
      <c r="I186" s="224">
        <f t="shared" ref="I186" si="75">IF(OR(H186=0,G186=0),0,G186/H186)</f>
        <v>111.8</v>
      </c>
      <c r="J186" s="224">
        <v>9369</v>
      </c>
      <c r="K186" s="226">
        <f t="shared" si="72"/>
        <v>1.9358505866882639E-4</v>
      </c>
      <c r="L186" s="224">
        <f t="shared" ref="L186" si="76">G186/E186</f>
        <v>55.9</v>
      </c>
      <c r="M186" s="261"/>
    </row>
    <row r="187" spans="1:13" s="228" customFormat="1" x14ac:dyDescent="0.15">
      <c r="A187" s="221"/>
      <c r="B187" s="222" t="s">
        <v>236</v>
      </c>
      <c r="C187" s="222" t="s">
        <v>1720</v>
      </c>
      <c r="D187" s="222" t="s">
        <v>2696</v>
      </c>
      <c r="E187" s="224">
        <v>12</v>
      </c>
      <c r="F187" s="222" t="s">
        <v>2540</v>
      </c>
      <c r="G187" s="224">
        <v>207</v>
      </c>
      <c r="H187" s="225">
        <v>1</v>
      </c>
      <c r="I187" s="224">
        <f t="shared" ref="I187" si="77">IF(OR(H187=0,G187=0),0,G187/H187)</f>
        <v>207</v>
      </c>
      <c r="J187" s="224">
        <v>8760</v>
      </c>
      <c r="K187" s="226">
        <f t="shared" si="72"/>
        <v>3.5842671864442811E-5</v>
      </c>
      <c r="L187" s="224">
        <f t="shared" ref="L187" si="78">G187/E187</f>
        <v>17.25</v>
      </c>
      <c r="M187" s="261"/>
    </row>
    <row r="188" spans="1:13" s="228" customFormat="1" x14ac:dyDescent="0.15">
      <c r="A188" s="221"/>
      <c r="B188" s="222" t="s">
        <v>236</v>
      </c>
      <c r="C188" s="222" t="s">
        <v>1811</v>
      </c>
      <c r="D188" s="222" t="s">
        <v>2697</v>
      </c>
      <c r="E188" s="224">
        <v>60</v>
      </c>
      <c r="F188" s="222" t="s">
        <v>2517</v>
      </c>
      <c r="G188" s="224">
        <v>680</v>
      </c>
      <c r="H188" s="225">
        <v>16</v>
      </c>
      <c r="I188" s="224">
        <f t="shared" ref="I188" si="79">IF(OR(H188=0,G188=0),0,G188/H188)</f>
        <v>42.5</v>
      </c>
      <c r="J188" s="224">
        <v>6139</v>
      </c>
      <c r="K188" s="226">
        <f t="shared" si="72"/>
        <v>1.1774404283971552E-4</v>
      </c>
      <c r="L188" s="224">
        <f t="shared" ref="L188" si="80">G188/E188</f>
        <v>11.333333333333334</v>
      </c>
      <c r="M188" s="261"/>
    </row>
    <row r="189" spans="1:13" s="228" customFormat="1" x14ac:dyDescent="0.15">
      <c r="A189" s="221"/>
      <c r="B189" s="222" t="s">
        <v>236</v>
      </c>
      <c r="C189" s="222" t="s">
        <v>1779</v>
      </c>
      <c r="D189" s="222" t="s">
        <v>2698</v>
      </c>
      <c r="E189" s="224">
        <v>15</v>
      </c>
      <c r="F189" s="222" t="s">
        <v>2597</v>
      </c>
      <c r="G189" s="224">
        <v>762</v>
      </c>
      <c r="H189" s="225">
        <v>1</v>
      </c>
      <c r="I189" s="224">
        <f t="shared" ref="I189:I191" si="81">IF(OR(H189=0,G189=0),0,G189/H189)</f>
        <v>762</v>
      </c>
      <c r="J189" s="224">
        <v>11511</v>
      </c>
      <c r="K189" s="226">
        <f t="shared" si="72"/>
        <v>1.3194258918215179E-4</v>
      </c>
      <c r="L189" s="224">
        <f t="shared" ref="L189:L191" si="82">G189/E189</f>
        <v>50.8</v>
      </c>
      <c r="M189" s="261"/>
    </row>
    <row r="190" spans="1:13" s="228" customFormat="1" x14ac:dyDescent="0.15">
      <c r="A190" s="221"/>
      <c r="B190" s="222" t="s">
        <v>236</v>
      </c>
      <c r="C190" s="222" t="s">
        <v>1821</v>
      </c>
      <c r="D190" s="222" t="s">
        <v>2699</v>
      </c>
      <c r="E190" s="224">
        <v>15</v>
      </c>
      <c r="F190" s="222" t="s">
        <v>2521</v>
      </c>
      <c r="G190" s="224">
        <v>4036</v>
      </c>
      <c r="H190" s="225">
        <v>4</v>
      </c>
      <c r="I190" s="224">
        <f t="shared" si="81"/>
        <v>1009</v>
      </c>
      <c r="J190" s="224">
        <v>25686</v>
      </c>
      <c r="K190" s="226">
        <f t="shared" si="72"/>
        <v>6.9884552485454678E-4</v>
      </c>
      <c r="L190" s="224">
        <f t="shared" si="82"/>
        <v>269.06666666666666</v>
      </c>
      <c r="M190" s="261"/>
    </row>
    <row r="191" spans="1:13" s="228" customFormat="1" x14ac:dyDescent="0.15">
      <c r="A191" s="221"/>
      <c r="B191" s="222" t="s">
        <v>236</v>
      </c>
      <c r="C191" s="222" t="s">
        <v>1781</v>
      </c>
      <c r="D191" s="222" t="s">
        <v>2700</v>
      </c>
      <c r="E191" s="224">
        <v>15</v>
      </c>
      <c r="F191" s="222" t="s">
        <v>2540</v>
      </c>
      <c r="G191" s="224"/>
      <c r="H191" s="225"/>
      <c r="I191" s="224">
        <f t="shared" si="81"/>
        <v>0</v>
      </c>
      <c r="J191" s="224"/>
      <c r="K191" s="226">
        <f t="shared" ref="K191" si="83">G191/$G$527</f>
        <v>0</v>
      </c>
      <c r="L191" s="224">
        <f t="shared" si="82"/>
        <v>0</v>
      </c>
      <c r="M191" s="261"/>
    </row>
    <row r="192" spans="1:13" s="228" customFormat="1" x14ac:dyDescent="0.15">
      <c r="A192" s="221"/>
      <c r="B192" s="222" t="s">
        <v>236</v>
      </c>
      <c r="C192" s="222" t="s">
        <v>1903</v>
      </c>
      <c r="D192" s="222" t="s">
        <v>2701</v>
      </c>
      <c r="E192" s="224">
        <v>20</v>
      </c>
      <c r="F192" s="222" t="s">
        <v>2519</v>
      </c>
      <c r="G192" s="224">
        <v>1096</v>
      </c>
      <c r="H192" s="225">
        <v>3</v>
      </c>
      <c r="I192" s="224">
        <f t="shared" ref="I192" si="84">IF(OR(H192=0,G192=0),0,G192/H192)</f>
        <v>365.33333333333331</v>
      </c>
      <c r="J192" s="224">
        <v>7411</v>
      </c>
      <c r="K192" s="226">
        <f t="shared" si="72"/>
        <v>1.8977569257695324E-4</v>
      </c>
      <c r="L192" s="224">
        <f t="shared" ref="L192" si="85">G192/E192</f>
        <v>54.8</v>
      </c>
      <c r="M192" s="261"/>
    </row>
    <row r="193" spans="1:13" s="286" customFormat="1" x14ac:dyDescent="0.15">
      <c r="A193" s="230" t="s">
        <v>412</v>
      </c>
      <c r="B193" s="231"/>
      <c r="C193" s="231"/>
      <c r="D193" s="232"/>
      <c r="E193" s="233">
        <f>SUM(E123:E192)</f>
        <v>10045.626999999999</v>
      </c>
      <c r="F193" s="232"/>
      <c r="G193" s="233">
        <f>SUM(G123:G192)</f>
        <v>501747.20000000001</v>
      </c>
      <c r="H193" s="234">
        <f>SUM(H123:H192)</f>
        <v>1498</v>
      </c>
      <c r="I193" s="233">
        <f t="shared" si="45"/>
        <v>334.94472630173567</v>
      </c>
      <c r="J193" s="233">
        <f>SUM(J123:J192)</f>
        <v>5595255.3999999994</v>
      </c>
      <c r="K193" s="235">
        <f t="shared" si="72"/>
        <v>8.6879035016922512E-2</v>
      </c>
      <c r="L193" s="233">
        <f t="shared" si="46"/>
        <v>49.946827609665391</v>
      </c>
      <c r="M193" s="262"/>
    </row>
    <row r="194" spans="1:13" s="228" customFormat="1" x14ac:dyDescent="0.15">
      <c r="A194" s="221"/>
      <c r="B194" s="222" t="s">
        <v>237</v>
      </c>
      <c r="C194" s="223" t="s">
        <v>359</v>
      </c>
      <c r="D194" s="223" t="s">
        <v>2702</v>
      </c>
      <c r="E194" s="224">
        <v>141.72999999999999</v>
      </c>
      <c r="F194" s="222" t="s">
        <v>2535</v>
      </c>
      <c r="G194" s="224">
        <v>7279</v>
      </c>
      <c r="H194" s="225">
        <v>18</v>
      </c>
      <c r="I194" s="224">
        <f t="shared" si="45"/>
        <v>404.38888888888891</v>
      </c>
      <c r="J194" s="224">
        <v>182372</v>
      </c>
      <c r="K194" s="226">
        <f t="shared" si="72"/>
        <v>1.260380717397484E-3</v>
      </c>
      <c r="L194" s="224">
        <f t="shared" si="46"/>
        <v>51.358216326818599</v>
      </c>
      <c r="M194" s="258"/>
    </row>
    <row r="195" spans="1:13" s="228" customFormat="1" x14ac:dyDescent="0.15">
      <c r="A195" s="221"/>
      <c r="B195" s="222" t="s">
        <v>237</v>
      </c>
      <c r="C195" s="223" t="s">
        <v>879</v>
      </c>
      <c r="D195" s="223" t="s">
        <v>2703</v>
      </c>
      <c r="E195" s="224">
        <v>45</v>
      </c>
      <c r="F195" s="222" t="s">
        <v>2540</v>
      </c>
      <c r="G195" s="224">
        <v>12303.9</v>
      </c>
      <c r="H195" s="225">
        <v>15</v>
      </c>
      <c r="I195" s="224">
        <f t="shared" si="45"/>
        <v>820.26</v>
      </c>
      <c r="J195" s="224">
        <v>86093.4</v>
      </c>
      <c r="K195" s="226">
        <f t="shared" si="72"/>
        <v>2.1304572480817289E-3</v>
      </c>
      <c r="L195" s="224">
        <f t="shared" si="46"/>
        <v>273.42</v>
      </c>
      <c r="M195" s="258"/>
    </row>
    <row r="196" spans="1:13" s="228" customFormat="1" x14ac:dyDescent="0.15">
      <c r="A196" s="221"/>
      <c r="B196" s="222" t="s">
        <v>237</v>
      </c>
      <c r="C196" s="223" t="s">
        <v>510</v>
      </c>
      <c r="D196" s="223" t="s">
        <v>2704</v>
      </c>
      <c r="E196" s="224">
        <v>86</v>
      </c>
      <c r="F196" s="222" t="s">
        <v>2521</v>
      </c>
      <c r="G196" s="224">
        <v>20108</v>
      </c>
      <c r="H196" s="225">
        <v>14</v>
      </c>
      <c r="I196" s="224">
        <f t="shared" si="45"/>
        <v>1436.2857142857142</v>
      </c>
      <c r="J196" s="224">
        <v>92145</v>
      </c>
      <c r="K196" s="226">
        <f t="shared" si="72"/>
        <v>3.4817606079720581E-3</v>
      </c>
      <c r="L196" s="224">
        <f t="shared" si="46"/>
        <v>233.81395348837211</v>
      </c>
      <c r="M196" s="258"/>
    </row>
    <row r="197" spans="1:13" s="228" customFormat="1" x14ac:dyDescent="0.15">
      <c r="A197" s="221"/>
      <c r="B197" s="222" t="s">
        <v>237</v>
      </c>
      <c r="C197" s="223" t="s">
        <v>520</v>
      </c>
      <c r="D197" s="223" t="s">
        <v>2705</v>
      </c>
      <c r="E197" s="224">
        <v>205</v>
      </c>
      <c r="F197" s="222" t="s">
        <v>2521</v>
      </c>
      <c r="G197" s="224">
        <v>6771.2</v>
      </c>
      <c r="H197" s="225">
        <v>38</v>
      </c>
      <c r="I197" s="224">
        <f t="shared" si="45"/>
        <v>178.18947368421053</v>
      </c>
      <c r="J197" s="224">
        <v>94777.400000000009</v>
      </c>
      <c r="K197" s="226">
        <f t="shared" si="72"/>
        <v>1.1724536218768848E-3</v>
      </c>
      <c r="L197" s="224">
        <f t="shared" si="46"/>
        <v>33.030243902439025</v>
      </c>
      <c r="M197" s="258"/>
    </row>
    <row r="198" spans="1:13" s="228" customFormat="1" x14ac:dyDescent="0.15">
      <c r="A198" s="221"/>
      <c r="B198" s="222" t="s">
        <v>237</v>
      </c>
      <c r="C198" s="223" t="s">
        <v>1768</v>
      </c>
      <c r="D198" s="223" t="s">
        <v>2706</v>
      </c>
      <c r="E198" s="224">
        <v>15</v>
      </c>
      <c r="F198" s="222" t="s">
        <v>2535</v>
      </c>
      <c r="G198" s="224">
        <v>2256</v>
      </c>
      <c r="H198" s="225">
        <v>4</v>
      </c>
      <c r="I198" s="224">
        <f t="shared" ref="I198" si="86">IF(OR(H198=0,G198=0),0,G198/H198)</f>
        <v>564</v>
      </c>
      <c r="J198" s="224">
        <v>6741</v>
      </c>
      <c r="K198" s="226">
        <f t="shared" si="72"/>
        <v>3.9063317742117382E-4</v>
      </c>
      <c r="L198" s="224">
        <f t="shared" ref="L198" si="87">G198/E198</f>
        <v>150.4</v>
      </c>
      <c r="M198" s="258"/>
    </row>
    <row r="199" spans="1:13" s="228" customFormat="1" x14ac:dyDescent="0.15">
      <c r="A199" s="221"/>
      <c r="B199" s="222" t="s">
        <v>237</v>
      </c>
      <c r="C199" s="223" t="s">
        <v>901</v>
      </c>
      <c r="D199" s="223" t="s">
        <v>2707</v>
      </c>
      <c r="E199" s="224">
        <v>25</v>
      </c>
      <c r="F199" s="222" t="s">
        <v>2540</v>
      </c>
      <c r="G199" s="224">
        <v>2196</v>
      </c>
      <c r="H199" s="225">
        <v>5</v>
      </c>
      <c r="I199" s="224">
        <f t="shared" si="45"/>
        <v>439.2</v>
      </c>
      <c r="J199" s="224">
        <v>15576</v>
      </c>
      <c r="K199" s="226">
        <f t="shared" ref="K199:K274" si="88">G199/$G$527</f>
        <v>3.8024399717061068E-4</v>
      </c>
      <c r="L199" s="224">
        <f t="shared" si="46"/>
        <v>87.84</v>
      </c>
      <c r="M199" s="258"/>
    </row>
    <row r="200" spans="1:13" s="228" customFormat="1" x14ac:dyDescent="0.15">
      <c r="A200" s="221"/>
      <c r="B200" s="222" t="s">
        <v>237</v>
      </c>
      <c r="C200" s="223" t="s">
        <v>1642</v>
      </c>
      <c r="D200" s="223" t="s">
        <v>2708</v>
      </c>
      <c r="E200" s="224">
        <v>123.47</v>
      </c>
      <c r="F200" s="222" t="s">
        <v>2535</v>
      </c>
      <c r="G200" s="224">
        <v>6306</v>
      </c>
      <c r="H200" s="225">
        <v>8</v>
      </c>
      <c r="I200" s="224">
        <f t="shared" ref="I200" si="89">IF(OR(H200=0,G200=0),0,G200/H200)</f>
        <v>788.25</v>
      </c>
      <c r="J200" s="224">
        <v>59045</v>
      </c>
      <c r="K200" s="226">
        <f t="shared" si="88"/>
        <v>1.0919028443341853E-3</v>
      </c>
      <c r="L200" s="224">
        <f t="shared" ref="L200" si="90">G200/E200</f>
        <v>51.073135174536326</v>
      </c>
      <c r="M200" s="258"/>
    </row>
    <row r="201" spans="1:13" s="240" customFormat="1" x14ac:dyDescent="0.15">
      <c r="A201" s="221"/>
      <c r="B201" s="222" t="s">
        <v>445</v>
      </c>
      <c r="C201" s="223" t="s">
        <v>446</v>
      </c>
      <c r="D201" s="223" t="s">
        <v>2709</v>
      </c>
      <c r="E201" s="224">
        <v>119.74</v>
      </c>
      <c r="F201" s="222" t="s">
        <v>2521</v>
      </c>
      <c r="G201" s="224">
        <v>4228</v>
      </c>
      <c r="H201" s="225">
        <v>6</v>
      </c>
      <c r="I201" s="224">
        <f t="shared" ref="I201:I262" si="91">IF(OR(H201=0,G201=0),0,G201/H201)</f>
        <v>704.66666666666663</v>
      </c>
      <c r="J201" s="224">
        <v>69594</v>
      </c>
      <c r="K201" s="226">
        <f t="shared" si="88"/>
        <v>7.3209090165634878E-4</v>
      </c>
      <c r="L201" s="224">
        <f t="shared" ref="L201:L262" si="92">G201/E201</f>
        <v>35.309837982294972</v>
      </c>
      <c r="M201" s="259"/>
    </row>
    <row r="202" spans="1:13" s="228" customFormat="1" x14ac:dyDescent="0.15">
      <c r="A202" s="221"/>
      <c r="B202" s="222" t="s">
        <v>237</v>
      </c>
      <c r="C202" s="223" t="s">
        <v>663</v>
      </c>
      <c r="D202" s="223" t="s">
        <v>2710</v>
      </c>
      <c r="E202" s="224">
        <v>76.099999999999994</v>
      </c>
      <c r="F202" s="222" t="s">
        <v>2519</v>
      </c>
      <c r="G202" s="224">
        <v>5210.1000000000004</v>
      </c>
      <c r="H202" s="225">
        <v>9</v>
      </c>
      <c r="I202" s="224">
        <f t="shared" si="91"/>
        <v>578.90000000000009</v>
      </c>
      <c r="J202" s="224">
        <v>79540.600000000006</v>
      </c>
      <c r="K202" s="226">
        <f t="shared" si="88"/>
        <v>9.0214446705764973E-4</v>
      </c>
      <c r="L202" s="224">
        <f t="shared" si="92"/>
        <v>68.463863337713548</v>
      </c>
      <c r="M202" s="259"/>
    </row>
    <row r="203" spans="1:13" s="228" customFormat="1" x14ac:dyDescent="0.15">
      <c r="A203" s="221"/>
      <c r="B203" s="222" t="s">
        <v>237</v>
      </c>
      <c r="C203" s="223" t="s">
        <v>916</v>
      </c>
      <c r="D203" s="223" t="s">
        <v>2711</v>
      </c>
      <c r="E203" s="224">
        <v>43</v>
      </c>
      <c r="F203" s="222" t="s">
        <v>2521</v>
      </c>
      <c r="G203" s="224">
        <v>2566.1999999999998</v>
      </c>
      <c r="H203" s="225">
        <v>18</v>
      </c>
      <c r="I203" s="224">
        <f t="shared" si="91"/>
        <v>142.56666666666666</v>
      </c>
      <c r="J203" s="224">
        <v>29216.999999999996</v>
      </c>
      <c r="K203" s="226">
        <f t="shared" si="88"/>
        <v>4.4434523931658517E-4</v>
      </c>
      <c r="L203" s="224">
        <f t="shared" si="92"/>
        <v>59.67906976744186</v>
      </c>
      <c r="M203" s="259"/>
    </row>
    <row r="204" spans="1:13" s="228" customFormat="1" x14ac:dyDescent="0.15">
      <c r="A204" s="221"/>
      <c r="B204" s="222" t="s">
        <v>237</v>
      </c>
      <c r="C204" s="223" t="s">
        <v>925</v>
      </c>
      <c r="D204" s="223" t="s">
        <v>2712</v>
      </c>
      <c r="E204" s="224">
        <v>40.24</v>
      </c>
      <c r="F204" s="222" t="s">
        <v>2597</v>
      </c>
      <c r="G204" s="224">
        <v>988</v>
      </c>
      <c r="H204" s="225">
        <v>1</v>
      </c>
      <c r="I204" s="224">
        <f t="shared" si="91"/>
        <v>988</v>
      </c>
      <c r="J204" s="224">
        <v>13778</v>
      </c>
      <c r="K204" s="226">
        <f t="shared" si="88"/>
        <v>1.710751681259396E-4</v>
      </c>
      <c r="L204" s="224">
        <f t="shared" si="92"/>
        <v>24.552683896620277</v>
      </c>
      <c r="M204" s="259"/>
    </row>
    <row r="205" spans="1:13" s="228" customFormat="1" x14ac:dyDescent="0.15">
      <c r="A205" s="221"/>
      <c r="B205" s="222" t="s">
        <v>237</v>
      </c>
      <c r="C205" s="223" t="s">
        <v>922</v>
      </c>
      <c r="D205" s="223" t="s">
        <v>2322</v>
      </c>
      <c r="E205" s="224">
        <v>59</v>
      </c>
      <c r="F205" s="222" t="s">
        <v>2318</v>
      </c>
      <c r="G205" s="224">
        <v>3570</v>
      </c>
      <c r="H205" s="225">
        <v>9</v>
      </c>
      <c r="I205" s="224">
        <f t="shared" si="91"/>
        <v>396.66666666666669</v>
      </c>
      <c r="J205" s="224">
        <v>26650</v>
      </c>
      <c r="K205" s="226">
        <f t="shared" si="88"/>
        <v>6.1815622490850645E-4</v>
      </c>
      <c r="L205" s="224">
        <f t="shared" si="92"/>
        <v>60.508474576271183</v>
      </c>
      <c r="M205" s="259"/>
    </row>
    <row r="206" spans="1:13" s="228" customFormat="1" x14ac:dyDescent="0.15">
      <c r="A206" s="221"/>
      <c r="B206" s="222" t="s">
        <v>237</v>
      </c>
      <c r="C206" s="223" t="s">
        <v>1083</v>
      </c>
      <c r="D206" s="223" t="s">
        <v>2713</v>
      </c>
      <c r="E206" s="224">
        <v>130</v>
      </c>
      <c r="F206" s="222" t="s">
        <v>2535</v>
      </c>
      <c r="G206" s="224">
        <v>3263</v>
      </c>
      <c r="H206" s="225">
        <v>7</v>
      </c>
      <c r="I206" s="224">
        <f t="shared" si="91"/>
        <v>466.14285714285717</v>
      </c>
      <c r="J206" s="224">
        <v>37391</v>
      </c>
      <c r="K206" s="226">
        <f t="shared" si="88"/>
        <v>5.6499825262645842E-4</v>
      </c>
      <c r="L206" s="224">
        <f t="shared" si="92"/>
        <v>25.1</v>
      </c>
      <c r="M206" s="259"/>
    </row>
    <row r="207" spans="1:13" s="228" customFormat="1" x14ac:dyDescent="0.15">
      <c r="A207" s="221"/>
      <c r="B207" s="222" t="s">
        <v>237</v>
      </c>
      <c r="C207" s="222" t="s">
        <v>1131</v>
      </c>
      <c r="D207" s="222" t="s">
        <v>2323</v>
      </c>
      <c r="E207" s="224">
        <v>185</v>
      </c>
      <c r="F207" s="222" t="s">
        <v>2318</v>
      </c>
      <c r="G207" s="224">
        <v>6355</v>
      </c>
      <c r="H207" s="225">
        <v>71</v>
      </c>
      <c r="I207" s="224">
        <f t="shared" ref="I207" si="93">IF(OR(H207=0,G207=0),0,G207/H207)</f>
        <v>89.507042253521121</v>
      </c>
      <c r="J207" s="224">
        <v>71310.8</v>
      </c>
      <c r="K207" s="226">
        <f t="shared" si="88"/>
        <v>1.1003873415388118E-3</v>
      </c>
      <c r="L207" s="224">
        <f t="shared" ref="L207" si="94">G207/E207</f>
        <v>34.351351351351354</v>
      </c>
      <c r="M207" s="259"/>
    </row>
    <row r="208" spans="1:13" s="228" customFormat="1" x14ac:dyDescent="0.15">
      <c r="A208" s="221"/>
      <c r="B208" s="222" t="s">
        <v>237</v>
      </c>
      <c r="C208" s="222" t="s">
        <v>1703</v>
      </c>
      <c r="D208" s="222" t="s">
        <v>2324</v>
      </c>
      <c r="E208" s="224">
        <v>220</v>
      </c>
      <c r="F208" s="222" t="s">
        <v>2319</v>
      </c>
      <c r="G208" s="224">
        <v>9088.7999999999993</v>
      </c>
      <c r="H208" s="225">
        <v>9</v>
      </c>
      <c r="I208" s="224">
        <f t="shared" ref="I208" si="95">IF(OR(H208=0,G208=0),0,G208/H208)</f>
        <v>1009.8666666666666</v>
      </c>
      <c r="J208" s="224">
        <v>86351.62</v>
      </c>
      <c r="K208" s="226">
        <f t="shared" si="88"/>
        <v>1.5737530243553034E-3</v>
      </c>
      <c r="L208" s="224">
        <f t="shared" ref="L208" si="96">G208/E208</f>
        <v>41.312727272727273</v>
      </c>
      <c r="M208" s="259"/>
    </row>
    <row r="209" spans="1:13" s="228" customFormat="1" x14ac:dyDescent="0.15">
      <c r="A209" s="221"/>
      <c r="B209" s="222" t="s">
        <v>445</v>
      </c>
      <c r="C209" s="223" t="s">
        <v>447</v>
      </c>
      <c r="D209" s="223" t="s">
        <v>2714</v>
      </c>
      <c r="E209" s="224">
        <v>416.35</v>
      </c>
      <c r="F209" s="222" t="s">
        <v>2569</v>
      </c>
      <c r="G209" s="224"/>
      <c r="H209" s="225"/>
      <c r="I209" s="224">
        <f t="shared" si="91"/>
        <v>0</v>
      </c>
      <c r="J209" s="224">
        <v>28199.599999999999</v>
      </c>
      <c r="K209" s="226">
        <f t="shared" si="88"/>
        <v>0</v>
      </c>
      <c r="L209" s="224">
        <f t="shared" si="92"/>
        <v>0</v>
      </c>
      <c r="M209" s="259"/>
    </row>
    <row r="210" spans="1:13" s="228" customFormat="1" x14ac:dyDescent="0.15">
      <c r="A210" s="221"/>
      <c r="B210" s="222" t="s">
        <v>445</v>
      </c>
      <c r="C210" s="223" t="s">
        <v>448</v>
      </c>
      <c r="D210" s="223" t="s">
        <v>2325</v>
      </c>
      <c r="E210" s="224">
        <v>395.72</v>
      </c>
      <c r="F210" s="222" t="s">
        <v>2319</v>
      </c>
      <c r="G210" s="224"/>
      <c r="H210" s="225"/>
      <c r="I210" s="224">
        <f t="shared" si="91"/>
        <v>0</v>
      </c>
      <c r="J210" s="224">
        <v>78698</v>
      </c>
      <c r="K210" s="226">
        <f t="shared" si="88"/>
        <v>0</v>
      </c>
      <c r="L210" s="224">
        <f t="shared" si="92"/>
        <v>0</v>
      </c>
      <c r="M210" s="259"/>
    </row>
    <row r="211" spans="1:13" s="228" customFormat="1" x14ac:dyDescent="0.15">
      <c r="A211" s="221"/>
      <c r="B211" s="222" t="s">
        <v>237</v>
      </c>
      <c r="C211" s="223" t="s">
        <v>1058</v>
      </c>
      <c r="D211" s="223" t="s">
        <v>2715</v>
      </c>
      <c r="E211" s="224">
        <v>110</v>
      </c>
      <c r="F211" s="222" t="s">
        <v>2521</v>
      </c>
      <c r="G211" s="224">
        <v>1290</v>
      </c>
      <c r="H211" s="225">
        <v>3</v>
      </c>
      <c r="I211" s="224">
        <f t="shared" si="91"/>
        <v>430</v>
      </c>
      <c r="J211" s="224">
        <v>97330</v>
      </c>
      <c r="K211" s="226">
        <f t="shared" si="88"/>
        <v>2.2336737538710736E-4</v>
      </c>
      <c r="L211" s="224">
        <f t="shared" si="92"/>
        <v>11.727272727272727</v>
      </c>
      <c r="M211" s="259"/>
    </row>
    <row r="212" spans="1:13" s="228" customFormat="1" x14ac:dyDescent="0.15">
      <c r="A212" s="221"/>
      <c r="B212" s="222" t="s">
        <v>237</v>
      </c>
      <c r="C212" s="223" t="s">
        <v>1050</v>
      </c>
      <c r="D212" s="223" t="s">
        <v>2716</v>
      </c>
      <c r="E212" s="224">
        <v>70</v>
      </c>
      <c r="F212" s="222" t="s">
        <v>2557</v>
      </c>
      <c r="G212" s="224">
        <v>7593</v>
      </c>
      <c r="H212" s="225">
        <v>7</v>
      </c>
      <c r="I212" s="224">
        <f t="shared" si="91"/>
        <v>1084.7142857142858</v>
      </c>
      <c r="J212" s="224">
        <v>48397</v>
      </c>
      <c r="K212" s="226">
        <f t="shared" si="88"/>
        <v>1.3147507607087646E-3</v>
      </c>
      <c r="L212" s="224">
        <f t="shared" si="92"/>
        <v>108.47142857142858</v>
      </c>
      <c r="M212" s="259"/>
    </row>
    <row r="213" spans="1:13" s="228" customFormat="1" x14ac:dyDescent="0.15">
      <c r="A213" s="221"/>
      <c r="B213" s="222" t="s">
        <v>445</v>
      </c>
      <c r="C213" s="223" t="s">
        <v>449</v>
      </c>
      <c r="D213" s="223" t="s">
        <v>2717</v>
      </c>
      <c r="E213" s="224">
        <v>75.12</v>
      </c>
      <c r="F213" s="222" t="s">
        <v>2521</v>
      </c>
      <c r="G213" s="224">
        <v>4989</v>
      </c>
      <c r="H213" s="225">
        <v>5</v>
      </c>
      <c r="I213" s="224">
        <f t="shared" si="91"/>
        <v>997.8</v>
      </c>
      <c r="J213" s="224">
        <v>36655</v>
      </c>
      <c r="K213" s="226">
        <f t="shared" si="88"/>
        <v>8.6386033783432457E-4</v>
      </c>
      <c r="L213" s="224">
        <f t="shared" si="92"/>
        <v>66.41373801916933</v>
      </c>
      <c r="M213" s="259"/>
    </row>
    <row r="214" spans="1:13" s="228" customFormat="1" x14ac:dyDescent="0.15">
      <c r="A214" s="221"/>
      <c r="B214" s="222" t="s">
        <v>237</v>
      </c>
      <c r="C214" s="223" t="s">
        <v>935</v>
      </c>
      <c r="D214" s="223" t="s">
        <v>2718</v>
      </c>
      <c r="E214" s="224">
        <v>181.28</v>
      </c>
      <c r="F214" s="222" t="s">
        <v>2521</v>
      </c>
      <c r="G214" s="224">
        <v>3684</v>
      </c>
      <c r="H214" s="225">
        <v>6</v>
      </c>
      <c r="I214" s="224">
        <f t="shared" si="91"/>
        <v>614</v>
      </c>
      <c r="J214" s="224">
        <v>81554</v>
      </c>
      <c r="K214" s="226">
        <f t="shared" si="88"/>
        <v>6.378956673845764E-4</v>
      </c>
      <c r="L214" s="224">
        <f t="shared" si="92"/>
        <v>20.32215357458076</v>
      </c>
      <c r="M214" s="259"/>
    </row>
    <row r="215" spans="1:13" s="228" customFormat="1" x14ac:dyDescent="0.15">
      <c r="A215" s="221"/>
      <c r="B215" s="222" t="s">
        <v>237</v>
      </c>
      <c r="C215" s="223" t="s">
        <v>450</v>
      </c>
      <c r="D215" s="223" t="s">
        <v>2719</v>
      </c>
      <c r="E215" s="224">
        <v>220</v>
      </c>
      <c r="F215" s="222" t="s">
        <v>2557</v>
      </c>
      <c r="G215" s="224">
        <v>16814.5</v>
      </c>
      <c r="H215" s="225">
        <v>115</v>
      </c>
      <c r="I215" s="224">
        <f t="shared" si="91"/>
        <v>146.21304347826086</v>
      </c>
      <c r="J215" s="224">
        <v>163872</v>
      </c>
      <c r="K215" s="226">
        <f t="shared" si="88"/>
        <v>2.9114811887182299E-3</v>
      </c>
      <c r="L215" s="224">
        <f t="shared" si="92"/>
        <v>76.429545454545448</v>
      </c>
      <c r="M215" s="259"/>
    </row>
    <row r="216" spans="1:13" s="228" customFormat="1" x14ac:dyDescent="0.15">
      <c r="A216" s="221"/>
      <c r="B216" s="222" t="s">
        <v>237</v>
      </c>
      <c r="C216" s="223" t="s">
        <v>1662</v>
      </c>
      <c r="D216" s="223" t="s">
        <v>2720</v>
      </c>
      <c r="E216" s="224">
        <v>56.6</v>
      </c>
      <c r="F216" s="222" t="s">
        <v>2521</v>
      </c>
      <c r="G216" s="224">
        <v>1430</v>
      </c>
      <c r="H216" s="225">
        <v>4</v>
      </c>
      <c r="I216" s="224">
        <f t="shared" ref="I216" si="97">IF(OR(H216=0,G216=0),0,G216/H216)</f>
        <v>357.5</v>
      </c>
      <c r="J216" s="224">
        <v>66722</v>
      </c>
      <c r="K216" s="226">
        <f t="shared" si="88"/>
        <v>2.4760879597175467E-4</v>
      </c>
      <c r="L216" s="224">
        <f t="shared" ref="L216" si="98">G216/E216</f>
        <v>25.265017667844521</v>
      </c>
      <c r="M216" s="259"/>
    </row>
    <row r="217" spans="1:13" s="228" customFormat="1" x14ac:dyDescent="0.15">
      <c r="A217" s="221"/>
      <c r="B217" s="222" t="s">
        <v>237</v>
      </c>
      <c r="C217" s="223" t="s">
        <v>1723</v>
      </c>
      <c r="D217" s="223" t="s">
        <v>2326</v>
      </c>
      <c r="E217" s="224">
        <v>182</v>
      </c>
      <c r="F217" s="222" t="s">
        <v>2318</v>
      </c>
      <c r="G217" s="224">
        <v>21617</v>
      </c>
      <c r="H217" s="225">
        <v>65</v>
      </c>
      <c r="I217" s="224">
        <f t="shared" ref="I217" si="99">IF(OR(H217=0,G217=0),0,G217/H217)</f>
        <v>332.56923076923078</v>
      </c>
      <c r="J217" s="224">
        <v>200888</v>
      </c>
      <c r="K217" s="226">
        <f t="shared" si="88"/>
        <v>3.743048491273721E-3</v>
      </c>
      <c r="L217" s="224">
        <f t="shared" ref="L217" si="100">G217/E217</f>
        <v>118.77472527472527</v>
      </c>
      <c r="M217" s="259"/>
    </row>
    <row r="218" spans="1:13" s="228" customFormat="1" x14ac:dyDescent="0.15">
      <c r="A218" s="221"/>
      <c r="B218" s="222" t="s">
        <v>237</v>
      </c>
      <c r="C218" s="223" t="s">
        <v>451</v>
      </c>
      <c r="D218" s="223" t="s">
        <v>2721</v>
      </c>
      <c r="E218" s="224">
        <v>70.900000000000006</v>
      </c>
      <c r="F218" s="222" t="s">
        <v>2535</v>
      </c>
      <c r="G218" s="224">
        <v>4993</v>
      </c>
      <c r="H218" s="225">
        <v>11</v>
      </c>
      <c r="I218" s="224">
        <f t="shared" si="91"/>
        <v>453.90909090909093</v>
      </c>
      <c r="J218" s="224">
        <v>34561</v>
      </c>
      <c r="K218" s="226">
        <f t="shared" si="88"/>
        <v>8.6455294985102876E-4</v>
      </c>
      <c r="L218" s="224">
        <f t="shared" si="92"/>
        <v>70.423131170662899</v>
      </c>
      <c r="M218" s="259"/>
    </row>
    <row r="219" spans="1:13" s="228" customFormat="1" x14ac:dyDescent="0.15">
      <c r="A219" s="221"/>
      <c r="B219" s="222" t="s">
        <v>445</v>
      </c>
      <c r="C219" s="223" t="s">
        <v>847</v>
      </c>
      <c r="D219" s="223" t="s">
        <v>2722</v>
      </c>
      <c r="E219" s="224">
        <v>55.64</v>
      </c>
      <c r="F219" s="222" t="s">
        <v>2535</v>
      </c>
      <c r="G219" s="224">
        <v>4536</v>
      </c>
      <c r="H219" s="225">
        <v>11</v>
      </c>
      <c r="I219" s="224">
        <f t="shared" si="91"/>
        <v>412.36363636363637</v>
      </c>
      <c r="J219" s="224">
        <v>48186</v>
      </c>
      <c r="K219" s="226">
        <f t="shared" si="88"/>
        <v>7.8542202694257288E-4</v>
      </c>
      <c r="L219" s="224">
        <f t="shared" si="92"/>
        <v>81.524083393242265</v>
      </c>
      <c r="M219" s="259"/>
    </row>
    <row r="220" spans="1:13" s="228" customFormat="1" x14ac:dyDescent="0.15">
      <c r="A220" s="221"/>
      <c r="B220" s="222" t="s">
        <v>237</v>
      </c>
      <c r="C220" s="236" t="s">
        <v>1749</v>
      </c>
      <c r="D220" s="223" t="s">
        <v>2723</v>
      </c>
      <c r="E220" s="224">
        <v>51.99</v>
      </c>
      <c r="F220" s="222" t="s">
        <v>2521</v>
      </c>
      <c r="G220" s="224">
        <v>6757</v>
      </c>
      <c r="H220" s="225">
        <v>15</v>
      </c>
      <c r="I220" s="224">
        <f t="shared" ref="I220" si="101">IF(OR(H220=0,G220=0),0,G220/H220)</f>
        <v>450.46666666666664</v>
      </c>
      <c r="J220" s="224">
        <v>58735</v>
      </c>
      <c r="K220" s="226">
        <f t="shared" si="88"/>
        <v>1.1699948492175849E-3</v>
      </c>
      <c r="L220" s="224">
        <f t="shared" ref="L220" si="102">G220/E220</f>
        <v>129.96730140411617</v>
      </c>
      <c r="M220" s="259"/>
    </row>
    <row r="221" spans="1:13" s="228" customFormat="1" x14ac:dyDescent="0.15">
      <c r="A221" s="221"/>
      <c r="B221" s="222" t="s">
        <v>445</v>
      </c>
      <c r="C221" s="236" t="s">
        <v>1735</v>
      </c>
      <c r="D221" s="223" t="s">
        <v>2724</v>
      </c>
      <c r="E221" s="224">
        <v>67.13</v>
      </c>
      <c r="F221" s="222" t="s">
        <v>2557</v>
      </c>
      <c r="G221" s="224">
        <v>5200</v>
      </c>
      <c r="H221" s="225">
        <v>6</v>
      </c>
      <c r="I221" s="224">
        <f t="shared" ref="I221" si="103">IF(OR(H221=0,G221=0),0,G221/H221)</f>
        <v>866.66666666666663</v>
      </c>
      <c r="J221" s="224">
        <v>51239</v>
      </c>
      <c r="K221" s="226">
        <f t="shared" si="88"/>
        <v>9.0039562171547155E-4</v>
      </c>
      <c r="L221" s="224">
        <f t="shared" ref="L221" si="104">G221/E221</f>
        <v>77.461641590942946</v>
      </c>
      <c r="M221" s="259"/>
    </row>
    <row r="222" spans="1:13" s="228" customFormat="1" x14ac:dyDescent="0.15">
      <c r="A222" s="221"/>
      <c r="B222" s="222" t="s">
        <v>445</v>
      </c>
      <c r="C222" s="236" t="s">
        <v>1745</v>
      </c>
      <c r="D222" s="223" t="s">
        <v>2725</v>
      </c>
      <c r="E222" s="224">
        <v>130</v>
      </c>
      <c r="F222" s="222" t="s">
        <v>2521</v>
      </c>
      <c r="G222" s="224">
        <v>8127</v>
      </c>
      <c r="H222" s="225">
        <v>18</v>
      </c>
      <c r="I222" s="224">
        <f t="shared" ref="I222" si="105">IF(OR(H222=0,G222=0),0,G222/H222)</f>
        <v>451.5</v>
      </c>
      <c r="J222" s="224">
        <v>84663</v>
      </c>
      <c r="K222" s="226">
        <f t="shared" si="88"/>
        <v>1.4072144649387764E-3</v>
      </c>
      <c r="L222" s="224">
        <f t="shared" ref="L222" si="106">G222/E222</f>
        <v>62.515384615384619</v>
      </c>
      <c r="M222" s="259"/>
    </row>
    <row r="223" spans="1:13" s="228" customFormat="1" x14ac:dyDescent="0.15">
      <c r="A223" s="221"/>
      <c r="B223" s="222" t="s">
        <v>237</v>
      </c>
      <c r="C223" s="236" t="s">
        <v>1744</v>
      </c>
      <c r="D223" s="223" t="s">
        <v>2726</v>
      </c>
      <c r="E223" s="224">
        <v>30</v>
      </c>
      <c r="F223" s="222" t="s">
        <v>2557</v>
      </c>
      <c r="G223" s="224">
        <v>2536</v>
      </c>
      <c r="H223" s="225">
        <v>6</v>
      </c>
      <c r="I223" s="224">
        <f t="shared" ref="I223" si="107">IF(OR(H223=0,G223=0),0,G223/H223)</f>
        <v>422.66666666666669</v>
      </c>
      <c r="J223" s="224">
        <v>20382</v>
      </c>
      <c r="K223" s="226">
        <f t="shared" si="88"/>
        <v>4.3911601859046844E-4</v>
      </c>
      <c r="L223" s="224">
        <f t="shared" ref="L223" si="108">G223/E223</f>
        <v>84.533333333333331</v>
      </c>
      <c r="M223" s="259"/>
    </row>
    <row r="224" spans="1:13" s="228" customFormat="1" x14ac:dyDescent="0.15">
      <c r="A224" s="221"/>
      <c r="B224" s="222" t="s">
        <v>445</v>
      </c>
      <c r="C224" s="236" t="s">
        <v>1714</v>
      </c>
      <c r="D224" s="223" t="s">
        <v>2727</v>
      </c>
      <c r="E224" s="224">
        <v>46.55</v>
      </c>
      <c r="F224" s="222" t="s">
        <v>2521</v>
      </c>
      <c r="G224" s="224">
        <v>258</v>
      </c>
      <c r="H224" s="225">
        <v>1</v>
      </c>
      <c r="I224" s="224">
        <f t="shared" si="91"/>
        <v>258</v>
      </c>
      <c r="J224" s="224">
        <v>7059</v>
      </c>
      <c r="K224" s="226">
        <f t="shared" si="88"/>
        <v>4.4673475077421471E-5</v>
      </c>
      <c r="L224" s="224">
        <f t="shared" si="92"/>
        <v>5.5424274973147156</v>
      </c>
      <c r="M224" s="259"/>
    </row>
    <row r="225" spans="1:13" s="228" customFormat="1" x14ac:dyDescent="0.15">
      <c r="A225" s="221"/>
      <c r="B225" s="222" t="s">
        <v>445</v>
      </c>
      <c r="C225" s="236" t="s">
        <v>1678</v>
      </c>
      <c r="D225" s="223" t="s">
        <v>2728</v>
      </c>
      <c r="E225" s="224">
        <v>111.6</v>
      </c>
      <c r="F225" s="222" t="s">
        <v>2535</v>
      </c>
      <c r="G225" s="224">
        <v>1049</v>
      </c>
      <c r="H225" s="225">
        <v>2</v>
      </c>
      <c r="I225" s="224">
        <f t="shared" ref="I225" si="109">IF(OR(H225=0,G225=0),0,G225/H225)</f>
        <v>524.5</v>
      </c>
      <c r="J225" s="224">
        <v>32500</v>
      </c>
      <c r="K225" s="226">
        <f t="shared" si="88"/>
        <v>1.8163750138067879E-4</v>
      </c>
      <c r="L225" s="224">
        <f t="shared" ref="L225" si="110">G225/E225</f>
        <v>9.3996415770609332</v>
      </c>
      <c r="M225" s="259"/>
    </row>
    <row r="226" spans="1:13" s="228" customFormat="1" x14ac:dyDescent="0.15">
      <c r="A226" s="221"/>
      <c r="B226" s="222" t="s">
        <v>445</v>
      </c>
      <c r="C226" s="236" t="s">
        <v>452</v>
      </c>
      <c r="D226" s="223" t="s">
        <v>2729</v>
      </c>
      <c r="E226" s="224">
        <v>75.430000000000007</v>
      </c>
      <c r="F226" s="222" t="s">
        <v>2521</v>
      </c>
      <c r="G226" s="224">
        <v>3815</v>
      </c>
      <c r="H226" s="225">
        <v>3</v>
      </c>
      <c r="I226" s="224">
        <f t="shared" si="91"/>
        <v>1271.6666666666667</v>
      </c>
      <c r="J226" s="224">
        <v>72922</v>
      </c>
      <c r="K226" s="226">
        <f t="shared" si="88"/>
        <v>6.6057871093163918E-4</v>
      </c>
      <c r="L226" s="224">
        <f t="shared" si="92"/>
        <v>50.576693623226831</v>
      </c>
      <c r="M226" s="259"/>
    </row>
    <row r="227" spans="1:13" s="228" customFormat="1" x14ac:dyDescent="0.15">
      <c r="A227" s="221"/>
      <c r="B227" s="222" t="s">
        <v>445</v>
      </c>
      <c r="C227" s="236" t="s">
        <v>453</v>
      </c>
      <c r="D227" s="223" t="s">
        <v>2730</v>
      </c>
      <c r="E227" s="224">
        <v>48.5</v>
      </c>
      <c r="F227" s="222" t="s">
        <v>2519</v>
      </c>
      <c r="G227" s="224">
        <v>9136</v>
      </c>
      <c r="H227" s="225">
        <v>47</v>
      </c>
      <c r="I227" s="224">
        <f t="shared" si="91"/>
        <v>194.38297872340425</v>
      </c>
      <c r="J227" s="224">
        <v>65757</v>
      </c>
      <c r="K227" s="226">
        <f t="shared" si="88"/>
        <v>1.581925846152413E-3</v>
      </c>
      <c r="L227" s="224">
        <f t="shared" si="92"/>
        <v>188.37113402061857</v>
      </c>
      <c r="M227" s="261"/>
    </row>
    <row r="228" spans="1:13" s="228" customFormat="1" x14ac:dyDescent="0.15">
      <c r="A228" s="221"/>
      <c r="B228" s="222" t="s">
        <v>237</v>
      </c>
      <c r="C228" s="236" t="s">
        <v>1138</v>
      </c>
      <c r="D228" s="223" t="s">
        <v>2731</v>
      </c>
      <c r="E228" s="224">
        <v>60</v>
      </c>
      <c r="F228" s="222" t="s">
        <v>2521</v>
      </c>
      <c r="G228" s="224">
        <v>3720</v>
      </c>
      <c r="H228" s="225">
        <v>4</v>
      </c>
      <c r="I228" s="224">
        <f t="shared" ref="I228" si="111">IF(OR(H228=0,G228=0),0,G228/H228)</f>
        <v>930</v>
      </c>
      <c r="J228" s="224">
        <v>40079</v>
      </c>
      <c r="K228" s="226">
        <f t="shared" si="88"/>
        <v>6.4412917553491431E-4</v>
      </c>
      <c r="L228" s="224">
        <f t="shared" ref="L228" si="112">G228/E228</f>
        <v>62</v>
      </c>
      <c r="M228" s="261"/>
    </row>
    <row r="229" spans="1:13" s="228" customFormat="1" x14ac:dyDescent="0.15">
      <c r="A229" s="221"/>
      <c r="B229" s="222" t="s">
        <v>237</v>
      </c>
      <c r="C229" s="236" t="s">
        <v>1696</v>
      </c>
      <c r="D229" s="223" t="s">
        <v>2732</v>
      </c>
      <c r="E229" s="224">
        <v>60</v>
      </c>
      <c r="F229" s="222" t="s">
        <v>2519</v>
      </c>
      <c r="G229" s="224">
        <v>7123</v>
      </c>
      <c r="H229" s="225">
        <v>61</v>
      </c>
      <c r="I229" s="224">
        <f t="shared" ref="I229" si="113">IF(OR(H229=0,G229=0),0,G229/H229)</f>
        <v>116.77049180327869</v>
      </c>
      <c r="J229" s="224">
        <v>65669</v>
      </c>
      <c r="K229" s="226">
        <f t="shared" si="88"/>
        <v>1.23336884874602E-3</v>
      </c>
      <c r="L229" s="224">
        <f t="shared" ref="L229" si="114">G229/E229</f>
        <v>118.71666666666667</v>
      </c>
      <c r="M229" s="261"/>
    </row>
    <row r="230" spans="1:13" s="228" customFormat="1" x14ac:dyDescent="0.15">
      <c r="A230" s="221"/>
      <c r="B230" s="222" t="s">
        <v>237</v>
      </c>
      <c r="C230" s="236" t="s">
        <v>1717</v>
      </c>
      <c r="D230" s="223" t="s">
        <v>2733</v>
      </c>
      <c r="E230" s="224">
        <v>115</v>
      </c>
      <c r="F230" s="222" t="s">
        <v>2521</v>
      </c>
      <c r="G230" s="224">
        <v>16642</v>
      </c>
      <c r="H230" s="225">
        <v>20</v>
      </c>
      <c r="I230" s="224">
        <f t="shared" ref="I230" si="115">IF(OR(H230=0,G230=0),0,G230/H230)</f>
        <v>832.1</v>
      </c>
      <c r="J230" s="224">
        <v>124908</v>
      </c>
      <c r="K230" s="226">
        <f t="shared" si="88"/>
        <v>2.881612295497861E-3</v>
      </c>
      <c r="L230" s="224">
        <f t="shared" ref="L230" si="116">G230/E230</f>
        <v>144.71304347826086</v>
      </c>
      <c r="M230" s="261"/>
    </row>
    <row r="231" spans="1:13" s="228" customFormat="1" x14ac:dyDescent="0.15">
      <c r="A231" s="221"/>
      <c r="B231" s="222" t="s">
        <v>237</v>
      </c>
      <c r="C231" s="223" t="s">
        <v>805</v>
      </c>
      <c r="D231" s="223" t="s">
        <v>2734</v>
      </c>
      <c r="E231" s="224">
        <v>55.43</v>
      </c>
      <c r="F231" s="222" t="s">
        <v>2521</v>
      </c>
      <c r="G231" s="224">
        <v>6373.4</v>
      </c>
      <c r="H231" s="225">
        <v>14</v>
      </c>
      <c r="I231" s="224">
        <f t="shared" si="91"/>
        <v>455.24285714285713</v>
      </c>
      <c r="J231" s="224">
        <v>37553.4</v>
      </c>
      <c r="K231" s="226">
        <f t="shared" si="88"/>
        <v>1.1035733568156511E-3</v>
      </c>
      <c r="L231" s="224">
        <f t="shared" si="92"/>
        <v>114.98105718924769</v>
      </c>
      <c r="M231" s="259"/>
    </row>
    <row r="232" spans="1:13" s="228" customFormat="1" x14ac:dyDescent="0.15">
      <c r="A232" s="221"/>
      <c r="B232" s="222" t="s">
        <v>237</v>
      </c>
      <c r="C232" s="223" t="s">
        <v>1640</v>
      </c>
      <c r="D232" s="223" t="s">
        <v>2735</v>
      </c>
      <c r="E232" s="224">
        <v>58.46</v>
      </c>
      <c r="F232" s="222" t="s">
        <v>2521</v>
      </c>
      <c r="G232" s="224">
        <v>5238</v>
      </c>
      <c r="H232" s="225">
        <v>26</v>
      </c>
      <c r="I232" s="224">
        <f t="shared" ref="I232" si="117">IF(OR(H232=0,G232=0),0,G232/H232)</f>
        <v>201.46153846153845</v>
      </c>
      <c r="J232" s="224">
        <v>24855.600000000002</v>
      </c>
      <c r="K232" s="226">
        <f t="shared" si="88"/>
        <v>9.0697543587416149E-4</v>
      </c>
      <c r="L232" s="224">
        <f t="shared" ref="L232" si="118">G232/E232</f>
        <v>89.599726308587066</v>
      </c>
      <c r="M232" s="259"/>
    </row>
    <row r="233" spans="1:13" s="228" customFormat="1" x14ac:dyDescent="0.15">
      <c r="A233" s="221"/>
      <c r="B233" s="222" t="s">
        <v>540</v>
      </c>
      <c r="C233" s="223" t="s">
        <v>541</v>
      </c>
      <c r="D233" s="223" t="s">
        <v>2736</v>
      </c>
      <c r="E233" s="224">
        <v>44.16</v>
      </c>
      <c r="F233" s="222" t="s">
        <v>2521</v>
      </c>
      <c r="G233" s="224">
        <v>2866</v>
      </c>
      <c r="H233" s="225">
        <v>10</v>
      </c>
      <c r="I233" s="224">
        <f t="shared" si="91"/>
        <v>286.60000000000002</v>
      </c>
      <c r="J233" s="224">
        <v>52011</v>
      </c>
      <c r="K233" s="226">
        <f t="shared" si="88"/>
        <v>4.9625650996856568E-4</v>
      </c>
      <c r="L233" s="224">
        <f t="shared" si="92"/>
        <v>64.900362318840578</v>
      </c>
      <c r="M233" s="259"/>
    </row>
    <row r="234" spans="1:13" s="228" customFormat="1" x14ac:dyDescent="0.15">
      <c r="A234" s="221"/>
      <c r="B234" s="222" t="s">
        <v>237</v>
      </c>
      <c r="C234" s="223" t="s">
        <v>1028</v>
      </c>
      <c r="D234" s="223" t="s">
        <v>2737</v>
      </c>
      <c r="E234" s="224">
        <v>89.88</v>
      </c>
      <c r="F234" s="222" t="s">
        <v>2535</v>
      </c>
      <c r="G234" s="224">
        <v>1270</v>
      </c>
      <c r="H234" s="225">
        <v>6</v>
      </c>
      <c r="I234" s="224">
        <f t="shared" si="91"/>
        <v>211.66666666666666</v>
      </c>
      <c r="J234" s="224">
        <v>36979</v>
      </c>
      <c r="K234" s="226">
        <f t="shared" si="88"/>
        <v>2.1990431530358631E-4</v>
      </c>
      <c r="L234" s="224">
        <f t="shared" si="92"/>
        <v>14.129951045838897</v>
      </c>
      <c r="M234" s="259"/>
    </row>
    <row r="235" spans="1:13" s="228" customFormat="1" x14ac:dyDescent="0.15">
      <c r="A235" s="221"/>
      <c r="B235" s="222" t="s">
        <v>237</v>
      </c>
      <c r="C235" s="223" t="s">
        <v>776</v>
      </c>
      <c r="D235" s="223" t="s">
        <v>2738</v>
      </c>
      <c r="E235" s="224">
        <v>67.489999999999995</v>
      </c>
      <c r="F235" s="222" t="s">
        <v>2521</v>
      </c>
      <c r="G235" s="224">
        <v>7338</v>
      </c>
      <c r="H235" s="225">
        <v>5</v>
      </c>
      <c r="I235" s="224">
        <f t="shared" si="91"/>
        <v>1467.6</v>
      </c>
      <c r="J235" s="224">
        <v>49103</v>
      </c>
      <c r="K235" s="226">
        <f t="shared" si="88"/>
        <v>1.2705967446438712E-3</v>
      </c>
      <c r="L235" s="224">
        <f t="shared" si="92"/>
        <v>108.72721884723664</v>
      </c>
      <c r="M235" s="259"/>
    </row>
    <row r="236" spans="1:13" s="228" customFormat="1" x14ac:dyDescent="0.15">
      <c r="A236" s="221"/>
      <c r="B236" s="222" t="s">
        <v>237</v>
      </c>
      <c r="C236" s="222" t="s">
        <v>655</v>
      </c>
      <c r="D236" s="222" t="s">
        <v>2739</v>
      </c>
      <c r="E236" s="224">
        <v>120.69</v>
      </c>
      <c r="F236" s="222" t="s">
        <v>2521</v>
      </c>
      <c r="G236" s="224">
        <v>4934.8999999999996</v>
      </c>
      <c r="H236" s="225">
        <v>10</v>
      </c>
      <c r="I236" s="224">
        <f t="shared" si="91"/>
        <v>493.48999999999995</v>
      </c>
      <c r="J236" s="224">
        <v>67034.8</v>
      </c>
      <c r="K236" s="226">
        <f t="shared" si="88"/>
        <v>8.544927603084E-4</v>
      </c>
      <c r="L236" s="224">
        <f t="shared" si="92"/>
        <v>40.88905460270113</v>
      </c>
      <c r="M236" s="259"/>
    </row>
    <row r="237" spans="1:13" s="228" customFormat="1" x14ac:dyDescent="0.15">
      <c r="A237" s="221"/>
      <c r="B237" s="222" t="s">
        <v>237</v>
      </c>
      <c r="C237" s="223" t="s">
        <v>382</v>
      </c>
      <c r="D237" s="223" t="s">
        <v>2740</v>
      </c>
      <c r="E237" s="224">
        <v>100</v>
      </c>
      <c r="F237" s="222" t="s">
        <v>2557</v>
      </c>
      <c r="G237" s="224">
        <v>19642</v>
      </c>
      <c r="H237" s="225">
        <v>22</v>
      </c>
      <c r="I237" s="224">
        <f t="shared" si="91"/>
        <v>892.81818181818187</v>
      </c>
      <c r="J237" s="224">
        <v>140454</v>
      </c>
      <c r="K237" s="226">
        <f t="shared" si="88"/>
        <v>3.4010713080260178E-3</v>
      </c>
      <c r="L237" s="224">
        <f t="shared" si="92"/>
        <v>196.42</v>
      </c>
      <c r="M237" s="259"/>
    </row>
    <row r="238" spans="1:13" s="228" customFormat="1" x14ac:dyDescent="0.15">
      <c r="A238" s="221"/>
      <c r="B238" s="222" t="s">
        <v>237</v>
      </c>
      <c r="C238" s="223" t="s">
        <v>383</v>
      </c>
      <c r="D238" s="223" t="s">
        <v>2741</v>
      </c>
      <c r="E238" s="224">
        <v>137</v>
      </c>
      <c r="F238" s="222" t="s">
        <v>2535</v>
      </c>
      <c r="G238" s="224">
        <v>4951</v>
      </c>
      <c r="H238" s="225">
        <v>6</v>
      </c>
      <c r="I238" s="224">
        <f t="shared" si="91"/>
        <v>825.16666666666663</v>
      </c>
      <c r="J238" s="224">
        <v>60701</v>
      </c>
      <c r="K238" s="226">
        <f t="shared" si="88"/>
        <v>8.5728052367563452E-4</v>
      </c>
      <c r="L238" s="224">
        <f t="shared" si="92"/>
        <v>36.138686131386862</v>
      </c>
      <c r="M238" s="259"/>
    </row>
    <row r="239" spans="1:13" s="228" customFormat="1" x14ac:dyDescent="0.15">
      <c r="A239" s="221"/>
      <c r="B239" s="222" t="s">
        <v>237</v>
      </c>
      <c r="C239" s="223" t="s">
        <v>770</v>
      </c>
      <c r="D239" s="223" t="s">
        <v>2742</v>
      </c>
      <c r="E239" s="224">
        <v>123.03</v>
      </c>
      <c r="F239" s="222" t="s">
        <v>2521</v>
      </c>
      <c r="G239" s="224">
        <v>15365</v>
      </c>
      <c r="H239" s="225">
        <v>11</v>
      </c>
      <c r="I239" s="224">
        <f t="shared" si="91"/>
        <v>1396.8181818181818</v>
      </c>
      <c r="J239" s="224">
        <v>107926</v>
      </c>
      <c r="K239" s="226">
        <f t="shared" si="88"/>
        <v>2.6604959091650424E-3</v>
      </c>
      <c r="L239" s="224">
        <f t="shared" si="92"/>
        <v>124.88823864098187</v>
      </c>
      <c r="M239" s="259"/>
    </row>
    <row r="240" spans="1:13" s="228" customFormat="1" x14ac:dyDescent="0.15">
      <c r="A240" s="221"/>
      <c r="B240" s="222" t="s">
        <v>237</v>
      </c>
      <c r="C240" s="223" t="s">
        <v>934</v>
      </c>
      <c r="D240" s="223" t="s">
        <v>2743</v>
      </c>
      <c r="E240" s="224">
        <v>90.09</v>
      </c>
      <c r="F240" s="222" t="s">
        <v>2521</v>
      </c>
      <c r="G240" s="224">
        <v>8642</v>
      </c>
      <c r="H240" s="225">
        <v>11</v>
      </c>
      <c r="I240" s="224">
        <f t="shared" si="91"/>
        <v>785.63636363636363</v>
      </c>
      <c r="J240" s="224">
        <v>40013</v>
      </c>
      <c r="K240" s="226">
        <f t="shared" si="88"/>
        <v>1.4963882620894432E-3</v>
      </c>
      <c r="L240" s="224">
        <f t="shared" si="92"/>
        <v>95.926295926295921</v>
      </c>
      <c r="M240" s="259"/>
    </row>
    <row r="241" spans="1:13" s="228" customFormat="1" x14ac:dyDescent="0.15">
      <c r="A241" s="221"/>
      <c r="B241" s="222" t="s">
        <v>237</v>
      </c>
      <c r="C241" s="223" t="s">
        <v>339</v>
      </c>
      <c r="D241" s="223" t="s">
        <v>2744</v>
      </c>
      <c r="E241" s="224">
        <v>113</v>
      </c>
      <c r="F241" s="222" t="s">
        <v>2521</v>
      </c>
      <c r="G241" s="224">
        <v>24688</v>
      </c>
      <c r="H241" s="225">
        <v>28</v>
      </c>
      <c r="I241" s="224">
        <f t="shared" si="91"/>
        <v>881.71428571428567</v>
      </c>
      <c r="J241" s="224">
        <v>310537</v>
      </c>
      <c r="K241" s="226">
        <f t="shared" si="88"/>
        <v>4.2748013670983768E-3</v>
      </c>
      <c r="L241" s="224">
        <f t="shared" si="92"/>
        <v>218.47787610619469</v>
      </c>
      <c r="M241" s="259"/>
    </row>
    <row r="242" spans="1:13" s="228" customFormat="1" x14ac:dyDescent="0.15">
      <c r="A242" s="221"/>
      <c r="B242" s="222" t="s">
        <v>237</v>
      </c>
      <c r="C242" s="223" t="s">
        <v>606</v>
      </c>
      <c r="D242" s="223" t="s">
        <v>2745</v>
      </c>
      <c r="E242" s="224">
        <v>57.85</v>
      </c>
      <c r="F242" s="222" t="s">
        <v>2535</v>
      </c>
      <c r="G242" s="224">
        <v>10233</v>
      </c>
      <c r="H242" s="225">
        <v>18</v>
      </c>
      <c r="I242" s="224">
        <f t="shared" si="91"/>
        <v>568.5</v>
      </c>
      <c r="J242" s="224">
        <v>127957</v>
      </c>
      <c r="K242" s="226">
        <f t="shared" si="88"/>
        <v>1.7718746917335423E-3</v>
      </c>
      <c r="L242" s="224">
        <f t="shared" si="92"/>
        <v>176.88850475367329</v>
      </c>
      <c r="M242" s="261"/>
    </row>
    <row r="243" spans="1:13" s="228" customFormat="1" x14ac:dyDescent="0.15">
      <c r="A243" s="221"/>
      <c r="B243" s="222" t="s">
        <v>237</v>
      </c>
      <c r="C243" s="223" t="s">
        <v>340</v>
      </c>
      <c r="D243" s="223" t="s">
        <v>2746</v>
      </c>
      <c r="E243" s="224">
        <v>255</v>
      </c>
      <c r="F243" s="222" t="s">
        <v>2521</v>
      </c>
      <c r="G243" s="224">
        <v>57349</v>
      </c>
      <c r="H243" s="225">
        <v>68</v>
      </c>
      <c r="I243" s="224">
        <f t="shared" si="91"/>
        <v>843.36764705882354</v>
      </c>
      <c r="J243" s="224">
        <v>573215</v>
      </c>
      <c r="K243" s="226">
        <f t="shared" si="88"/>
        <v>9.9301516364924194E-3</v>
      </c>
      <c r="L243" s="224">
        <f t="shared" si="92"/>
        <v>224.89803921568628</v>
      </c>
      <c r="M243" s="259"/>
    </row>
    <row r="244" spans="1:13" s="228" customFormat="1" x14ac:dyDescent="0.15">
      <c r="A244" s="221"/>
      <c r="B244" s="222" t="s">
        <v>237</v>
      </c>
      <c r="C244" s="223" t="s">
        <v>918</v>
      </c>
      <c r="D244" s="223" t="s">
        <v>2747</v>
      </c>
      <c r="E244" s="224">
        <v>150</v>
      </c>
      <c r="F244" s="222" t="s">
        <v>2521</v>
      </c>
      <c r="G244" s="224">
        <v>18069.2</v>
      </c>
      <c r="H244" s="225">
        <v>21</v>
      </c>
      <c r="I244" s="224">
        <f t="shared" si="91"/>
        <v>860.43809523809523</v>
      </c>
      <c r="J244" s="224">
        <v>132279.80000000002</v>
      </c>
      <c r="K244" s="226">
        <f t="shared" si="88"/>
        <v>3.1287362630579227E-3</v>
      </c>
      <c r="L244" s="224">
        <f t="shared" si="92"/>
        <v>120.46133333333334</v>
      </c>
      <c r="M244" s="259"/>
    </row>
    <row r="245" spans="1:13" s="228" customFormat="1" x14ac:dyDescent="0.15">
      <c r="A245" s="221"/>
      <c r="B245" s="222" t="s">
        <v>237</v>
      </c>
      <c r="C245" s="223" t="s">
        <v>1725</v>
      </c>
      <c r="D245" s="223" t="s">
        <v>2748</v>
      </c>
      <c r="E245" s="224">
        <v>81</v>
      </c>
      <c r="F245" s="222" t="s">
        <v>2517</v>
      </c>
      <c r="G245" s="224">
        <v>1632</v>
      </c>
      <c r="H245" s="225">
        <v>1</v>
      </c>
      <c r="I245" s="224">
        <f t="shared" ref="I245" si="119">IF(OR(H245=0,G245=0),0,G245/H245)</f>
        <v>1632</v>
      </c>
      <c r="J245" s="224">
        <v>27365</v>
      </c>
      <c r="K245" s="226">
        <f t="shared" si="88"/>
        <v>2.8258570281531725E-4</v>
      </c>
      <c r="L245" s="224">
        <f t="shared" ref="L245" si="120">G245/E245</f>
        <v>20.148148148148149</v>
      </c>
      <c r="M245" s="259"/>
    </row>
    <row r="246" spans="1:13" s="228" customFormat="1" x14ac:dyDescent="0.15">
      <c r="A246" s="221"/>
      <c r="B246" s="222" t="s">
        <v>237</v>
      </c>
      <c r="C246" s="223" t="s">
        <v>1767</v>
      </c>
      <c r="D246" s="223" t="s">
        <v>2749</v>
      </c>
      <c r="E246" s="224">
        <v>14</v>
      </c>
      <c r="F246" s="222" t="s">
        <v>2519</v>
      </c>
      <c r="G246" s="224">
        <v>3819</v>
      </c>
      <c r="H246" s="225">
        <v>6</v>
      </c>
      <c r="I246" s="224">
        <f t="shared" ref="I246" si="121">IF(OR(H246=0,G246=0),0,G246/H246)</f>
        <v>636.5</v>
      </c>
      <c r="J246" s="224">
        <v>17770</v>
      </c>
      <c r="K246" s="226">
        <f t="shared" si="88"/>
        <v>6.6127132294834347E-4</v>
      </c>
      <c r="L246" s="224">
        <f t="shared" ref="L246" si="122">G246/E246</f>
        <v>272.78571428571428</v>
      </c>
      <c r="M246" s="259"/>
    </row>
    <row r="247" spans="1:13" s="228" customFormat="1" x14ac:dyDescent="0.15">
      <c r="A247" s="221"/>
      <c r="B247" s="222" t="s">
        <v>237</v>
      </c>
      <c r="C247" s="223" t="s">
        <v>1855</v>
      </c>
      <c r="D247" s="223" t="s">
        <v>1943</v>
      </c>
      <c r="E247" s="224">
        <v>19</v>
      </c>
      <c r="F247" s="222" t="s">
        <v>1944</v>
      </c>
      <c r="G247" s="224">
        <v>288</v>
      </c>
      <c r="H247" s="225">
        <v>1</v>
      </c>
      <c r="I247" s="224">
        <f t="shared" ref="I247" si="123">IF(OR(H247=0,G247=0),0,G247/H247)</f>
        <v>288</v>
      </c>
      <c r="J247" s="224">
        <v>7945</v>
      </c>
      <c r="K247" s="226">
        <f t="shared" ref="K247" si="124">G247/$G$527</f>
        <v>4.9868065202703037E-5</v>
      </c>
      <c r="L247" s="224">
        <f t="shared" ref="L247" si="125">G247/E247</f>
        <v>15.157894736842104</v>
      </c>
      <c r="M247" s="259"/>
    </row>
    <row r="248" spans="1:13" s="228" customFormat="1" x14ac:dyDescent="0.15">
      <c r="A248" s="221"/>
      <c r="B248" s="222" t="s">
        <v>237</v>
      </c>
      <c r="C248" s="223" t="s">
        <v>1871</v>
      </c>
      <c r="D248" s="223" t="s">
        <v>1945</v>
      </c>
      <c r="E248" s="224">
        <v>30</v>
      </c>
      <c r="F248" s="222" t="s">
        <v>2318</v>
      </c>
      <c r="G248" s="224">
        <v>309</v>
      </c>
      <c r="H248" s="225">
        <v>3</v>
      </c>
      <c r="I248" s="224">
        <f t="shared" ref="I248" si="126">IF(OR(H248=0,G248=0),0,G248/H248)</f>
        <v>103</v>
      </c>
      <c r="J248" s="224">
        <v>2063</v>
      </c>
      <c r="K248" s="226">
        <f t="shared" ref="K248" si="127">G248/$G$527</f>
        <v>5.3504278290400139E-5</v>
      </c>
      <c r="L248" s="224">
        <f t="shared" ref="L248" si="128">G248/E248</f>
        <v>10.3</v>
      </c>
      <c r="M248" s="259"/>
    </row>
    <row r="249" spans="1:13" s="228" customFormat="1" x14ac:dyDescent="0.15">
      <c r="A249" s="221"/>
      <c r="B249" s="222" t="s">
        <v>237</v>
      </c>
      <c r="C249" s="223" t="s">
        <v>1026</v>
      </c>
      <c r="D249" s="223" t="s">
        <v>1946</v>
      </c>
      <c r="E249" s="224">
        <v>2346</v>
      </c>
      <c r="F249" s="222" t="s">
        <v>2318</v>
      </c>
      <c r="G249" s="224">
        <v>36242</v>
      </c>
      <c r="H249" s="225">
        <v>109</v>
      </c>
      <c r="I249" s="224">
        <f t="shared" si="91"/>
        <v>332.49541284403671</v>
      </c>
      <c r="J249" s="224">
        <v>258042.6</v>
      </c>
      <c r="K249" s="226">
        <f t="shared" si="88"/>
        <v>6.2754111773484847E-3</v>
      </c>
      <c r="L249" s="224">
        <f t="shared" si="92"/>
        <v>15.448422847399829</v>
      </c>
      <c r="M249" s="259"/>
    </row>
    <row r="250" spans="1:13" s="228" customFormat="1" x14ac:dyDescent="0.15">
      <c r="A250" s="221"/>
      <c r="B250" s="222" t="s">
        <v>237</v>
      </c>
      <c r="C250" s="223" t="s">
        <v>1051</v>
      </c>
      <c r="D250" s="223" t="s">
        <v>2750</v>
      </c>
      <c r="E250" s="224">
        <v>265</v>
      </c>
      <c r="F250" s="222" t="s">
        <v>2521</v>
      </c>
      <c r="G250" s="224">
        <v>23804</v>
      </c>
      <c r="H250" s="225">
        <v>35</v>
      </c>
      <c r="I250" s="224">
        <f t="shared" si="91"/>
        <v>680.11428571428576</v>
      </c>
      <c r="J250" s="224">
        <v>248274</v>
      </c>
      <c r="K250" s="226">
        <f t="shared" si="88"/>
        <v>4.1217341114067468E-3</v>
      </c>
      <c r="L250" s="224">
        <f t="shared" si="92"/>
        <v>89.826415094339623</v>
      </c>
      <c r="M250" s="259"/>
    </row>
    <row r="251" spans="1:13" s="228" customFormat="1" x14ac:dyDescent="0.15">
      <c r="A251" s="221"/>
      <c r="B251" s="222" t="s">
        <v>237</v>
      </c>
      <c r="C251" s="223" t="s">
        <v>1161</v>
      </c>
      <c r="D251" s="223" t="s">
        <v>2751</v>
      </c>
      <c r="E251" s="224">
        <v>170</v>
      </c>
      <c r="F251" s="222" t="s">
        <v>2521</v>
      </c>
      <c r="G251" s="224">
        <v>14279.8</v>
      </c>
      <c r="H251" s="225">
        <v>17</v>
      </c>
      <c r="I251" s="224">
        <f t="shared" si="91"/>
        <v>839.98823529411766</v>
      </c>
      <c r="J251" s="224">
        <v>174030.8</v>
      </c>
      <c r="K251" s="226">
        <f t="shared" si="88"/>
        <v>2.4725902690331905E-3</v>
      </c>
      <c r="L251" s="224">
        <f t="shared" si="92"/>
        <v>83.998823529411766</v>
      </c>
      <c r="M251" s="259"/>
    </row>
    <row r="252" spans="1:13" s="228" customFormat="1" x14ac:dyDescent="0.15">
      <c r="A252" s="221"/>
      <c r="B252" s="222" t="s">
        <v>237</v>
      </c>
      <c r="C252" s="223" t="s">
        <v>1628</v>
      </c>
      <c r="D252" s="223" t="s">
        <v>2752</v>
      </c>
      <c r="E252" s="224">
        <v>120</v>
      </c>
      <c r="F252" s="222" t="s">
        <v>2535</v>
      </c>
      <c r="G252" s="224">
        <v>11740</v>
      </c>
      <c r="H252" s="225">
        <v>23</v>
      </c>
      <c r="I252" s="224">
        <f t="shared" si="91"/>
        <v>510.43478260869563</v>
      </c>
      <c r="J252" s="224">
        <v>126260</v>
      </c>
      <c r="K252" s="226">
        <f t="shared" si="88"/>
        <v>2.0328162690268531E-3</v>
      </c>
      <c r="L252" s="224">
        <f t="shared" si="92"/>
        <v>97.833333333333329</v>
      </c>
      <c r="M252" s="261"/>
    </row>
    <row r="253" spans="1:13" s="228" customFormat="1" x14ac:dyDescent="0.15">
      <c r="A253" s="221"/>
      <c r="B253" s="222" t="s">
        <v>237</v>
      </c>
      <c r="C253" s="223" t="s">
        <v>1750</v>
      </c>
      <c r="D253" s="223" t="s">
        <v>2753</v>
      </c>
      <c r="E253" s="224">
        <v>78</v>
      </c>
      <c r="F253" s="222" t="s">
        <v>2557</v>
      </c>
      <c r="G253" s="224">
        <v>5003</v>
      </c>
      <c r="H253" s="225">
        <v>9</v>
      </c>
      <c r="I253" s="224">
        <f t="shared" ref="I253" si="129">IF(OR(H253=0,G253=0),0,G253/H253)</f>
        <v>555.88888888888891</v>
      </c>
      <c r="J253" s="224">
        <v>61340</v>
      </c>
      <c r="K253" s="226">
        <f t="shared" si="88"/>
        <v>8.6628447989278929E-4</v>
      </c>
      <c r="L253" s="224">
        <f t="shared" ref="L253" si="130">G253/E253</f>
        <v>64.141025641025635</v>
      </c>
      <c r="M253" s="259"/>
    </row>
    <row r="254" spans="1:13" s="228" customFormat="1" x14ac:dyDescent="0.15">
      <c r="A254" s="221"/>
      <c r="B254" s="222" t="s">
        <v>237</v>
      </c>
      <c r="C254" s="223" t="s">
        <v>1861</v>
      </c>
      <c r="D254" s="223" t="s">
        <v>2754</v>
      </c>
      <c r="E254" s="224">
        <v>10</v>
      </c>
      <c r="F254" s="222" t="s">
        <v>2557</v>
      </c>
      <c r="G254" s="224"/>
      <c r="H254" s="225"/>
      <c r="I254" s="224">
        <f t="shared" ref="I254" si="131">IF(OR(H254=0,G254=0),0,G254/H254)</f>
        <v>0</v>
      </c>
      <c r="J254" s="224"/>
      <c r="K254" s="226">
        <f t="shared" ref="K254" si="132">G254/$G$527</f>
        <v>0</v>
      </c>
      <c r="L254" s="224">
        <f t="shared" ref="L254" si="133">G254/E254</f>
        <v>0</v>
      </c>
      <c r="M254" s="259"/>
    </row>
    <row r="255" spans="1:13" s="228" customFormat="1" x14ac:dyDescent="0.15">
      <c r="A255" s="221"/>
      <c r="B255" s="222" t="s">
        <v>237</v>
      </c>
      <c r="C255" s="229" t="s">
        <v>564</v>
      </c>
      <c r="D255" s="222" t="s">
        <v>2755</v>
      </c>
      <c r="E255" s="224">
        <v>9</v>
      </c>
      <c r="F255" s="222" t="s">
        <v>2540</v>
      </c>
      <c r="G255" s="224">
        <v>300</v>
      </c>
      <c r="H255" s="225">
        <v>2</v>
      </c>
      <c r="I255" s="224">
        <f t="shared" si="91"/>
        <v>150</v>
      </c>
      <c r="J255" s="224">
        <v>4844</v>
      </c>
      <c r="K255" s="226">
        <f t="shared" si="88"/>
        <v>5.1945901252815668E-5</v>
      </c>
      <c r="L255" s="224">
        <f t="shared" si="92"/>
        <v>33.333333333333336</v>
      </c>
      <c r="M255" s="261"/>
    </row>
    <row r="256" spans="1:13" s="228" customFormat="1" x14ac:dyDescent="0.15">
      <c r="A256" s="221"/>
      <c r="B256" s="222" t="s">
        <v>237</v>
      </c>
      <c r="C256" s="229" t="s">
        <v>1912</v>
      </c>
      <c r="D256" s="222" t="s">
        <v>2756</v>
      </c>
      <c r="E256" s="224">
        <v>15</v>
      </c>
      <c r="F256" s="222" t="s">
        <v>2519</v>
      </c>
      <c r="G256" s="224"/>
      <c r="H256" s="225"/>
      <c r="I256" s="224">
        <f t="shared" ref="I256" si="134">IF(OR(H256=0,G256=0),0,G256/H256)</f>
        <v>0</v>
      </c>
      <c r="J256" s="224">
        <v>6914</v>
      </c>
      <c r="K256" s="226">
        <f t="shared" ref="K256" si="135">G256/$G$527</f>
        <v>0</v>
      </c>
      <c r="L256" s="224">
        <f t="shared" ref="L256" si="136">G256/E256</f>
        <v>0</v>
      </c>
      <c r="M256" s="261"/>
    </row>
    <row r="257" spans="1:13" s="228" customFormat="1" x14ac:dyDescent="0.15">
      <c r="A257" s="221"/>
      <c r="B257" s="222" t="s">
        <v>237</v>
      </c>
      <c r="C257" s="229" t="s">
        <v>886</v>
      </c>
      <c r="D257" s="222" t="s">
        <v>2757</v>
      </c>
      <c r="E257" s="224">
        <v>15</v>
      </c>
      <c r="F257" s="222" t="s">
        <v>2540</v>
      </c>
      <c r="G257" s="224">
        <v>11526</v>
      </c>
      <c r="H257" s="225">
        <v>15</v>
      </c>
      <c r="I257" s="224">
        <f t="shared" si="91"/>
        <v>768.4</v>
      </c>
      <c r="J257" s="224">
        <v>58172</v>
      </c>
      <c r="K257" s="226">
        <f t="shared" si="88"/>
        <v>1.9957615261331778E-3</v>
      </c>
      <c r="L257" s="224">
        <f t="shared" si="92"/>
        <v>768.4</v>
      </c>
      <c r="M257" s="261"/>
    </row>
    <row r="258" spans="1:13" s="228" customFormat="1" x14ac:dyDescent="0.15">
      <c r="A258" s="221"/>
      <c r="B258" s="222" t="s">
        <v>237</v>
      </c>
      <c r="C258" s="229" t="s">
        <v>1674</v>
      </c>
      <c r="D258" s="222" t="s">
        <v>2758</v>
      </c>
      <c r="E258" s="224">
        <v>90</v>
      </c>
      <c r="F258" s="222" t="s">
        <v>2521</v>
      </c>
      <c r="G258" s="224">
        <v>5826</v>
      </c>
      <c r="H258" s="225">
        <v>8</v>
      </c>
      <c r="I258" s="224">
        <f t="shared" ref="I258" si="137">IF(OR(H258=0,G258=0),0,G258/H258)</f>
        <v>728.25</v>
      </c>
      <c r="J258" s="224">
        <v>32347</v>
      </c>
      <c r="K258" s="226">
        <f t="shared" si="88"/>
        <v>1.0087894023296802E-3</v>
      </c>
      <c r="L258" s="224">
        <f t="shared" ref="L258" si="138">G258/E258</f>
        <v>64.733333333333334</v>
      </c>
      <c r="M258" s="261"/>
    </row>
    <row r="259" spans="1:13" s="228" customFormat="1" x14ac:dyDescent="0.15">
      <c r="A259" s="221"/>
      <c r="B259" s="222" t="s">
        <v>237</v>
      </c>
      <c r="C259" s="278" t="s">
        <v>757</v>
      </c>
      <c r="D259" s="222" t="s">
        <v>2759</v>
      </c>
      <c r="E259" s="224">
        <v>15</v>
      </c>
      <c r="F259" s="222" t="s">
        <v>2597</v>
      </c>
      <c r="G259" s="224">
        <v>1680</v>
      </c>
      <c r="H259" s="225">
        <v>2</v>
      </c>
      <c r="I259" s="224">
        <f t="shared" si="91"/>
        <v>840</v>
      </c>
      <c r="J259" s="224">
        <v>7234</v>
      </c>
      <c r="K259" s="226">
        <f t="shared" si="88"/>
        <v>2.9089704701576772E-4</v>
      </c>
      <c r="L259" s="224">
        <f t="shared" si="92"/>
        <v>112</v>
      </c>
      <c r="M259" s="261"/>
    </row>
    <row r="260" spans="1:13" s="228" customFormat="1" x14ac:dyDescent="0.15">
      <c r="A260" s="221"/>
      <c r="B260" s="222" t="s">
        <v>237</v>
      </c>
      <c r="C260" s="278" t="s">
        <v>874</v>
      </c>
      <c r="D260" s="222" t="s">
        <v>1947</v>
      </c>
      <c r="E260" s="224">
        <v>10</v>
      </c>
      <c r="F260" s="222" t="s">
        <v>2318</v>
      </c>
      <c r="G260" s="224">
        <v>1357</v>
      </c>
      <c r="H260" s="225">
        <v>5</v>
      </c>
      <c r="I260" s="224">
        <f t="shared" si="91"/>
        <v>271.39999999999998</v>
      </c>
      <c r="J260" s="224">
        <v>17610</v>
      </c>
      <c r="K260" s="226">
        <f t="shared" si="88"/>
        <v>2.3496862666690286E-4</v>
      </c>
      <c r="L260" s="224">
        <f t="shared" si="92"/>
        <v>135.69999999999999</v>
      </c>
      <c r="M260" s="261"/>
    </row>
    <row r="261" spans="1:13" s="228" customFormat="1" x14ac:dyDescent="0.15">
      <c r="A261" s="221"/>
      <c r="B261" s="222" t="s">
        <v>237</v>
      </c>
      <c r="C261" s="278" t="s">
        <v>1101</v>
      </c>
      <c r="D261" s="222" t="s">
        <v>2760</v>
      </c>
      <c r="E261" s="224">
        <v>20</v>
      </c>
      <c r="F261" s="222" t="s">
        <v>2519</v>
      </c>
      <c r="G261" s="224">
        <v>855</v>
      </c>
      <c r="H261" s="225">
        <v>3</v>
      </c>
      <c r="I261" s="224">
        <f t="shared" ref="I261" si="139">IF(OR(H261=0,G261=0),0,G261/H261)</f>
        <v>285</v>
      </c>
      <c r="J261" s="224">
        <v>6530</v>
      </c>
      <c r="K261" s="226">
        <f t="shared" si="88"/>
        <v>1.4804581857052465E-4</v>
      </c>
      <c r="L261" s="224">
        <f t="shared" ref="L261" si="140">G261/E261</f>
        <v>42.75</v>
      </c>
      <c r="M261" s="261"/>
    </row>
    <row r="262" spans="1:13" s="228" customFormat="1" x14ac:dyDescent="0.15">
      <c r="A262" s="221"/>
      <c r="B262" s="222" t="s">
        <v>237</v>
      </c>
      <c r="C262" s="278" t="s">
        <v>1100</v>
      </c>
      <c r="D262" s="222" t="s">
        <v>1948</v>
      </c>
      <c r="E262" s="224">
        <v>20</v>
      </c>
      <c r="F262" s="222" t="s">
        <v>2318</v>
      </c>
      <c r="G262" s="224">
        <v>359</v>
      </c>
      <c r="H262" s="225">
        <v>5</v>
      </c>
      <c r="I262" s="224">
        <f t="shared" si="91"/>
        <v>71.8</v>
      </c>
      <c r="J262" s="224">
        <v>7314</v>
      </c>
      <c r="K262" s="226">
        <f t="shared" si="88"/>
        <v>6.2161928499202752E-5</v>
      </c>
      <c r="L262" s="224">
        <f t="shared" si="92"/>
        <v>17.95</v>
      </c>
      <c r="M262" s="261"/>
    </row>
    <row r="263" spans="1:13" s="228" customFormat="1" x14ac:dyDescent="0.15">
      <c r="A263" s="221"/>
      <c r="B263" s="222" t="s">
        <v>237</v>
      </c>
      <c r="C263" s="278" t="s">
        <v>1644</v>
      </c>
      <c r="D263" s="222" t="s">
        <v>2761</v>
      </c>
      <c r="E263" s="224">
        <v>50</v>
      </c>
      <c r="F263" s="222" t="s">
        <v>2535</v>
      </c>
      <c r="G263" s="224"/>
      <c r="H263" s="225"/>
      <c r="I263" s="224">
        <f t="shared" ref="I263" si="141">IF(OR(H263=0,G263=0),0,G263/H263)</f>
        <v>0</v>
      </c>
      <c r="J263" s="224"/>
      <c r="K263" s="226">
        <f t="shared" si="88"/>
        <v>0</v>
      </c>
      <c r="L263" s="224">
        <f t="shared" ref="L263" si="142">G263/E263</f>
        <v>0</v>
      </c>
      <c r="M263" s="261"/>
    </row>
    <row r="264" spans="1:13" s="228" customFormat="1" x14ac:dyDescent="0.15">
      <c r="A264" s="221"/>
      <c r="B264" s="222" t="s">
        <v>237</v>
      </c>
      <c r="C264" s="278" t="s">
        <v>1894</v>
      </c>
      <c r="D264" s="222" t="s">
        <v>2762</v>
      </c>
      <c r="E264" s="224">
        <v>150</v>
      </c>
      <c r="F264" s="222" t="s">
        <v>2521</v>
      </c>
      <c r="G264" s="224"/>
      <c r="H264" s="225"/>
      <c r="I264" s="224">
        <f t="shared" ref="I264" si="143">IF(OR(H264=0,G264=0),0,G264/H264)</f>
        <v>0</v>
      </c>
      <c r="J264" s="224"/>
      <c r="K264" s="226">
        <f t="shared" ref="K264" si="144">G264/$G$527</f>
        <v>0</v>
      </c>
      <c r="L264" s="224">
        <f t="shared" ref="L264" si="145">G264/E264</f>
        <v>0</v>
      </c>
      <c r="M264" s="261"/>
    </row>
    <row r="265" spans="1:13" s="228" customFormat="1" x14ac:dyDescent="0.15">
      <c r="A265" s="221"/>
      <c r="B265" s="222" t="s">
        <v>237</v>
      </c>
      <c r="C265" s="278" t="s">
        <v>1849</v>
      </c>
      <c r="D265" s="222" t="s">
        <v>2763</v>
      </c>
      <c r="E265" s="224">
        <v>50</v>
      </c>
      <c r="F265" s="222" t="s">
        <v>2521</v>
      </c>
      <c r="G265" s="224"/>
      <c r="H265" s="225"/>
      <c r="I265" s="224">
        <f t="shared" ref="I265:I266" si="146">IF(OR(H265=0,G265=0),0,G265/H265)</f>
        <v>0</v>
      </c>
      <c r="J265" s="224"/>
      <c r="K265" s="226">
        <f t="shared" si="88"/>
        <v>0</v>
      </c>
      <c r="L265" s="224">
        <f t="shared" ref="L265:L266" si="147">G265/E265</f>
        <v>0</v>
      </c>
      <c r="M265" s="261"/>
    </row>
    <row r="266" spans="1:13" s="228" customFormat="1" x14ac:dyDescent="0.15">
      <c r="A266" s="221"/>
      <c r="B266" s="222" t="s">
        <v>237</v>
      </c>
      <c r="C266" s="278" t="s">
        <v>1870</v>
      </c>
      <c r="D266" s="222" t="s">
        <v>2764</v>
      </c>
      <c r="E266" s="224">
        <v>150</v>
      </c>
      <c r="F266" s="222" t="s">
        <v>2557</v>
      </c>
      <c r="G266" s="224"/>
      <c r="H266" s="225"/>
      <c r="I266" s="224">
        <f t="shared" si="146"/>
        <v>0</v>
      </c>
      <c r="J266" s="224"/>
      <c r="K266" s="226">
        <f t="shared" ref="K266" si="148">G266/$G$527</f>
        <v>0</v>
      </c>
      <c r="L266" s="224">
        <f t="shared" si="147"/>
        <v>0</v>
      </c>
      <c r="M266" s="261"/>
    </row>
    <row r="267" spans="1:13" s="228" customFormat="1" x14ac:dyDescent="0.15">
      <c r="A267" s="221"/>
      <c r="B267" s="222" t="s">
        <v>260</v>
      </c>
      <c r="C267" s="278" t="s">
        <v>1915</v>
      </c>
      <c r="D267" s="222" t="s">
        <v>2765</v>
      </c>
      <c r="E267" s="224">
        <v>150</v>
      </c>
      <c r="F267" s="222" t="s">
        <v>2521</v>
      </c>
      <c r="G267" s="224">
        <v>17228.3</v>
      </c>
      <c r="H267" s="225">
        <v>96</v>
      </c>
      <c r="I267" s="224">
        <f t="shared" ref="I267" si="149">IF(OR(H267=0,G267=0),0,G267/H267)</f>
        <v>179.46145833333333</v>
      </c>
      <c r="J267" s="224">
        <v>191572.5</v>
      </c>
      <c r="K267" s="226">
        <f t="shared" ref="K267" si="150">G267/$G$527</f>
        <v>2.9831319018462804E-3</v>
      </c>
      <c r="L267" s="224">
        <f t="shared" ref="L267" si="151">G267/E267</f>
        <v>114.85533333333333</v>
      </c>
      <c r="M267" s="261"/>
    </row>
    <row r="268" spans="1:13" s="228" customFormat="1" x14ac:dyDescent="0.15">
      <c r="A268" s="221"/>
      <c r="B268" s="222" t="s">
        <v>237</v>
      </c>
      <c r="C268" s="278" t="s">
        <v>1910</v>
      </c>
      <c r="D268" s="222" t="s">
        <v>2766</v>
      </c>
      <c r="E268" s="224">
        <v>25</v>
      </c>
      <c r="F268" s="222" t="s">
        <v>2521</v>
      </c>
      <c r="G268" s="224"/>
      <c r="H268" s="225"/>
      <c r="I268" s="224">
        <f t="shared" ref="I268" si="152">IF(OR(H268=0,G268=0),0,G268/H268)</f>
        <v>0</v>
      </c>
      <c r="J268" s="224">
        <v>12377</v>
      </c>
      <c r="K268" s="226">
        <f t="shared" ref="K268" si="153">G268/$G$527</f>
        <v>0</v>
      </c>
      <c r="L268" s="224">
        <f t="shared" ref="L268" si="154">G268/E268</f>
        <v>0</v>
      </c>
      <c r="M268" s="261"/>
    </row>
    <row r="269" spans="1:13" s="228" customFormat="1" x14ac:dyDescent="0.15">
      <c r="A269" s="221"/>
      <c r="B269" s="222" t="s">
        <v>237</v>
      </c>
      <c r="C269" s="278" t="s">
        <v>1908</v>
      </c>
      <c r="D269" s="222" t="s">
        <v>2767</v>
      </c>
      <c r="E269" s="224">
        <v>50</v>
      </c>
      <c r="F269" s="222" t="s">
        <v>2535</v>
      </c>
      <c r="G269" s="224"/>
      <c r="H269" s="225"/>
      <c r="I269" s="224">
        <f t="shared" ref="I269" si="155">IF(OR(H269=0,G269=0),0,G269/H269)</f>
        <v>0</v>
      </c>
      <c r="J269" s="224">
        <v>0</v>
      </c>
      <c r="K269" s="226">
        <f t="shared" ref="K269" si="156">G269/$G$527</f>
        <v>0</v>
      </c>
      <c r="L269" s="224">
        <f t="shared" ref="L269" si="157">G269/E269</f>
        <v>0</v>
      </c>
      <c r="M269" s="261"/>
    </row>
    <row r="270" spans="1:13" s="228" customFormat="1" x14ac:dyDescent="0.15">
      <c r="A270" s="221"/>
      <c r="B270" s="222" t="s">
        <v>237</v>
      </c>
      <c r="C270" s="222" t="s">
        <v>1874</v>
      </c>
      <c r="D270" s="222" t="s">
        <v>2768</v>
      </c>
      <c r="E270" s="224">
        <v>50</v>
      </c>
      <c r="F270" s="222" t="s">
        <v>2535</v>
      </c>
      <c r="G270" s="224"/>
      <c r="H270" s="225"/>
      <c r="I270" s="224">
        <f t="shared" ref="I270:I271" si="158">IF(OR(H270=0,G270=0),0,G270/H270)</f>
        <v>0</v>
      </c>
      <c r="J270" s="224"/>
      <c r="K270" s="226">
        <f t="shared" ref="K270" si="159">G270/$G$527</f>
        <v>0</v>
      </c>
      <c r="L270" s="224">
        <f t="shared" ref="L270" si="160">G270/E270</f>
        <v>0</v>
      </c>
      <c r="M270" s="261"/>
    </row>
    <row r="271" spans="1:13" s="228" customFormat="1" x14ac:dyDescent="0.15">
      <c r="A271" s="221"/>
      <c r="B271" s="222" t="s">
        <v>237</v>
      </c>
      <c r="C271" s="222" t="s">
        <v>1917</v>
      </c>
      <c r="D271" s="222" t="s">
        <v>2769</v>
      </c>
      <c r="E271" s="224">
        <v>50</v>
      </c>
      <c r="F271" s="222" t="s">
        <v>2521</v>
      </c>
      <c r="G271" s="224">
        <v>7353</v>
      </c>
      <c r="H271" s="225">
        <v>21</v>
      </c>
      <c r="I271" s="224">
        <f t="shared" si="158"/>
        <v>350.14285714285717</v>
      </c>
      <c r="J271" s="224">
        <v>76195</v>
      </c>
      <c r="K271" s="226">
        <f t="shared" ref="K271" si="161">G271/$G$527</f>
        <v>1.273194039706512E-3</v>
      </c>
      <c r="L271" s="224">
        <f t="shared" ref="L271" si="162">G271/E271</f>
        <v>147.06</v>
      </c>
      <c r="M271" s="261"/>
    </row>
    <row r="272" spans="1:13" s="228" customFormat="1" x14ac:dyDescent="0.15">
      <c r="A272" s="221"/>
      <c r="B272" s="222" t="s">
        <v>237</v>
      </c>
      <c r="C272" s="222" t="s">
        <v>1906</v>
      </c>
      <c r="D272" s="222" t="s">
        <v>2770</v>
      </c>
      <c r="E272" s="224">
        <v>150</v>
      </c>
      <c r="F272" s="222" t="s">
        <v>2521</v>
      </c>
      <c r="G272" s="224"/>
      <c r="H272" s="225"/>
      <c r="I272" s="224">
        <f t="shared" ref="I272" si="163">IF(OR(H272=0,G272=0),0,G272/H272)</f>
        <v>0</v>
      </c>
      <c r="J272" s="224"/>
      <c r="K272" s="226">
        <f t="shared" ref="K272" si="164">G272/$G$527</f>
        <v>0</v>
      </c>
      <c r="L272" s="224">
        <f t="shared" ref="L272" si="165">G272/E272</f>
        <v>0</v>
      </c>
      <c r="M272" s="261"/>
    </row>
    <row r="273" spans="1:13" s="228" customFormat="1" x14ac:dyDescent="0.15">
      <c r="A273" s="221"/>
      <c r="B273" s="222" t="s">
        <v>237</v>
      </c>
      <c r="C273" s="278" t="s">
        <v>1827</v>
      </c>
      <c r="D273" s="222" t="s">
        <v>2771</v>
      </c>
      <c r="E273" s="224">
        <v>50</v>
      </c>
      <c r="F273" s="222" t="s">
        <v>2521</v>
      </c>
      <c r="G273" s="224"/>
      <c r="H273" s="225"/>
      <c r="I273" s="224">
        <f t="shared" ref="I273" si="166">IF(OR(H273=0,G273=0),0,G273/H273)</f>
        <v>0</v>
      </c>
      <c r="J273" s="224"/>
      <c r="K273" s="226">
        <f t="shared" si="88"/>
        <v>0</v>
      </c>
      <c r="L273" s="224">
        <f t="shared" ref="L273" si="167">G273/E273</f>
        <v>0</v>
      </c>
      <c r="M273" s="261"/>
    </row>
    <row r="274" spans="1:13" s="286" customFormat="1" x14ac:dyDescent="0.15">
      <c r="A274" s="230" t="s">
        <v>412</v>
      </c>
      <c r="B274" s="231"/>
      <c r="C274" s="231"/>
      <c r="D274" s="232"/>
      <c r="E274" s="233">
        <f>SUM(E194:E273)</f>
        <v>9858.17</v>
      </c>
      <c r="F274" s="232"/>
      <c r="G274" s="233">
        <f>SUM(G194:G273)</f>
        <v>554359.30000000005</v>
      </c>
      <c r="H274" s="234">
        <f>SUM(H194:H273)</f>
        <v>1259</v>
      </c>
      <c r="I274" s="233">
        <f t="shared" ref="I274:I329" si="168">IF(OR(H274=0,G274=0),0,G274/H274)</f>
        <v>440.31715647339161</v>
      </c>
      <c r="J274" s="233">
        <f>SUM(J194:J273)</f>
        <v>5564377.919999999</v>
      </c>
      <c r="K274" s="235">
        <f t="shared" si="88"/>
        <v>9.5988978187933394E-2</v>
      </c>
      <c r="L274" s="233">
        <f t="shared" ref="L274:L329" si="169">G274/E274</f>
        <v>56.233489582752178</v>
      </c>
      <c r="M274" s="262"/>
    </row>
    <row r="275" spans="1:13" s="228" customFormat="1" x14ac:dyDescent="0.15">
      <c r="A275" s="221"/>
      <c r="B275" s="222" t="s">
        <v>454</v>
      </c>
      <c r="C275" s="223" t="s">
        <v>455</v>
      </c>
      <c r="D275" s="223" t="s">
        <v>2772</v>
      </c>
      <c r="E275" s="224">
        <v>2000.83</v>
      </c>
      <c r="F275" s="222" t="s">
        <v>2544</v>
      </c>
      <c r="G275" s="224">
        <v>114290</v>
      </c>
      <c r="H275" s="225">
        <v>49</v>
      </c>
      <c r="I275" s="224">
        <f t="shared" si="168"/>
        <v>2332.4489795918366</v>
      </c>
      <c r="J275" s="224">
        <v>1232707</v>
      </c>
      <c r="K275" s="226">
        <f t="shared" ref="K275:K283" si="170">G275/$G$527</f>
        <v>1.9789656847281008E-2</v>
      </c>
      <c r="L275" s="224">
        <f t="shared" si="169"/>
        <v>57.121294662714973</v>
      </c>
      <c r="M275" s="261"/>
    </row>
    <row r="276" spans="1:13" s="228" customFormat="1" x14ac:dyDescent="0.15">
      <c r="A276" s="221"/>
      <c r="B276" s="222" t="s">
        <v>260</v>
      </c>
      <c r="C276" s="223" t="s">
        <v>456</v>
      </c>
      <c r="D276" s="223" t="s">
        <v>2327</v>
      </c>
      <c r="E276" s="224">
        <v>330</v>
      </c>
      <c r="F276" s="222" t="s">
        <v>2318</v>
      </c>
      <c r="G276" s="224">
        <v>9356.7999999999993</v>
      </c>
      <c r="H276" s="225">
        <v>13</v>
      </c>
      <c r="I276" s="224">
        <f t="shared" si="168"/>
        <v>719.7538461538461</v>
      </c>
      <c r="J276" s="224">
        <v>64667.100000000006</v>
      </c>
      <c r="K276" s="226">
        <f t="shared" si="170"/>
        <v>1.6201580294744854E-3</v>
      </c>
      <c r="L276" s="224">
        <f t="shared" si="169"/>
        <v>28.353939393939392</v>
      </c>
      <c r="M276" s="261"/>
    </row>
    <row r="277" spans="1:13" s="228" customFormat="1" x14ac:dyDescent="0.15">
      <c r="A277" s="221"/>
      <c r="B277" s="222" t="s">
        <v>260</v>
      </c>
      <c r="C277" s="223" t="s">
        <v>859</v>
      </c>
      <c r="D277" s="223" t="s">
        <v>2773</v>
      </c>
      <c r="E277" s="224">
        <v>130.01</v>
      </c>
      <c r="F277" s="222" t="s">
        <v>2521</v>
      </c>
      <c r="G277" s="224">
        <v>1706</v>
      </c>
      <c r="H277" s="225">
        <v>9</v>
      </c>
      <c r="I277" s="224">
        <f t="shared" si="168"/>
        <v>189.55555555555554</v>
      </c>
      <c r="J277" s="224">
        <v>45902</v>
      </c>
      <c r="K277" s="226">
        <f t="shared" si="170"/>
        <v>2.953990251243451E-4</v>
      </c>
      <c r="L277" s="224">
        <f t="shared" si="169"/>
        <v>13.122067533266673</v>
      </c>
      <c r="M277" s="261"/>
    </row>
    <row r="278" spans="1:13" s="228" customFormat="1" x14ac:dyDescent="0.15">
      <c r="A278" s="221"/>
      <c r="B278" s="222" t="s">
        <v>260</v>
      </c>
      <c r="C278" s="223" t="s">
        <v>782</v>
      </c>
      <c r="D278" s="223" t="s">
        <v>2774</v>
      </c>
      <c r="E278" s="224">
        <v>77.67</v>
      </c>
      <c r="F278" s="222" t="s">
        <v>2521</v>
      </c>
      <c r="G278" s="224">
        <v>232</v>
      </c>
      <c r="H278" s="225">
        <v>1</v>
      </c>
      <c r="I278" s="224">
        <f t="shared" si="168"/>
        <v>232</v>
      </c>
      <c r="J278" s="224">
        <v>23104.400000000001</v>
      </c>
      <c r="K278" s="226">
        <f t="shared" si="170"/>
        <v>4.0171496968844114E-5</v>
      </c>
      <c r="L278" s="224">
        <f t="shared" si="169"/>
        <v>2.9869962662546672</v>
      </c>
      <c r="M278" s="261"/>
    </row>
    <row r="279" spans="1:13" s="228" customFormat="1" x14ac:dyDescent="0.15">
      <c r="A279" s="221"/>
      <c r="B279" s="222" t="s">
        <v>260</v>
      </c>
      <c r="C279" s="223" t="s">
        <v>802</v>
      </c>
      <c r="D279" s="223" t="s">
        <v>2775</v>
      </c>
      <c r="E279" s="224">
        <v>83.09</v>
      </c>
      <c r="F279" s="222" t="s">
        <v>2535</v>
      </c>
      <c r="G279" s="224">
        <v>1348</v>
      </c>
      <c r="H279" s="225">
        <v>3</v>
      </c>
      <c r="I279" s="224">
        <f t="shared" si="168"/>
        <v>449.33333333333331</v>
      </c>
      <c r="J279" s="224">
        <v>17358</v>
      </c>
      <c r="K279" s="226">
        <f t="shared" si="170"/>
        <v>2.3341024962931839E-4</v>
      </c>
      <c r="L279" s="224">
        <f t="shared" si="169"/>
        <v>16.223372246961127</v>
      </c>
      <c r="M279" s="261"/>
    </row>
    <row r="280" spans="1:13" s="228" customFormat="1" x14ac:dyDescent="0.15">
      <c r="A280" s="221"/>
      <c r="B280" s="222" t="s">
        <v>454</v>
      </c>
      <c r="C280" s="223" t="s">
        <v>300</v>
      </c>
      <c r="D280" s="223" t="s">
        <v>2776</v>
      </c>
      <c r="E280" s="224">
        <v>1299.53</v>
      </c>
      <c r="F280" s="222" t="s">
        <v>2687</v>
      </c>
      <c r="G280" s="224">
        <v>17948.7</v>
      </c>
      <c r="H280" s="225">
        <v>121</v>
      </c>
      <c r="I280" s="224">
        <f t="shared" si="168"/>
        <v>148.33636363636364</v>
      </c>
      <c r="J280" s="224">
        <v>362772.95</v>
      </c>
      <c r="K280" s="226">
        <f t="shared" si="170"/>
        <v>3.1078713260547087E-3</v>
      </c>
      <c r="L280" s="224">
        <f t="shared" si="169"/>
        <v>13.811685763314429</v>
      </c>
      <c r="M280" s="261"/>
    </row>
    <row r="281" spans="1:13" s="228" customFormat="1" x14ac:dyDescent="0.15">
      <c r="A281" s="221"/>
      <c r="B281" s="222" t="s">
        <v>454</v>
      </c>
      <c r="C281" s="223" t="s">
        <v>293</v>
      </c>
      <c r="D281" s="223" t="s">
        <v>1950</v>
      </c>
      <c r="E281" s="224">
        <v>84.31</v>
      </c>
      <c r="F281" s="222" t="s">
        <v>2318</v>
      </c>
      <c r="G281" s="224">
        <v>1079</v>
      </c>
      <c r="H281" s="225">
        <v>6</v>
      </c>
      <c r="I281" s="224">
        <f t="shared" si="168"/>
        <v>179.83333333333334</v>
      </c>
      <c r="J281" s="224">
        <v>39229</v>
      </c>
      <c r="K281" s="226">
        <f t="shared" si="170"/>
        <v>1.8683209150596034E-4</v>
      </c>
      <c r="L281" s="224">
        <f t="shared" si="169"/>
        <v>12.798007353813308</v>
      </c>
      <c r="M281" s="261"/>
    </row>
    <row r="282" spans="1:13" s="228" customFormat="1" x14ac:dyDescent="0.15">
      <c r="A282" s="221"/>
      <c r="B282" s="222" t="s">
        <v>454</v>
      </c>
      <c r="C282" s="223" t="s">
        <v>728</v>
      </c>
      <c r="D282" s="223" t="s">
        <v>1951</v>
      </c>
      <c r="E282" s="224">
        <v>133.41</v>
      </c>
      <c r="F282" s="222" t="s">
        <v>2318</v>
      </c>
      <c r="G282" s="224">
        <v>7884</v>
      </c>
      <c r="H282" s="225">
        <v>12</v>
      </c>
      <c r="I282" s="224">
        <f t="shared" si="168"/>
        <v>657</v>
      </c>
      <c r="J282" s="224">
        <v>119728</v>
      </c>
      <c r="K282" s="226">
        <f t="shared" si="170"/>
        <v>1.3651382849239958E-3</v>
      </c>
      <c r="L282" s="224">
        <f t="shared" si="169"/>
        <v>59.096019788621547</v>
      </c>
      <c r="M282" s="261"/>
    </row>
    <row r="283" spans="1:13" s="228" customFormat="1" x14ac:dyDescent="0.15">
      <c r="A283" s="221"/>
      <c r="B283" s="222" t="s">
        <v>260</v>
      </c>
      <c r="C283" s="223" t="s">
        <v>1850</v>
      </c>
      <c r="D283" s="223" t="s">
        <v>1952</v>
      </c>
      <c r="E283" s="224">
        <v>209.69</v>
      </c>
      <c r="F283" s="222" t="s">
        <v>2318</v>
      </c>
      <c r="G283" s="224">
        <v>14255.3</v>
      </c>
      <c r="H283" s="225">
        <v>94</v>
      </c>
      <c r="I283" s="224">
        <f t="shared" si="168"/>
        <v>151.65212765957446</v>
      </c>
      <c r="J283" s="224">
        <v>169839.69999999998</v>
      </c>
      <c r="K283" s="226">
        <f t="shared" si="170"/>
        <v>2.468348020430877E-3</v>
      </c>
      <c r="L283" s="224">
        <f t="shared" si="169"/>
        <v>67.982736420430157</v>
      </c>
      <c r="M283" s="261"/>
    </row>
    <row r="284" spans="1:13" s="228" customFormat="1" x14ac:dyDescent="0.15">
      <c r="A284" s="221"/>
      <c r="B284" s="222" t="s">
        <v>260</v>
      </c>
      <c r="C284" s="223" t="s">
        <v>1769</v>
      </c>
      <c r="D284" s="223" t="s">
        <v>1953</v>
      </c>
      <c r="E284" s="224">
        <v>15</v>
      </c>
      <c r="F284" s="222" t="s">
        <v>2318</v>
      </c>
      <c r="G284" s="224">
        <v>2758</v>
      </c>
      <c r="H284" s="225">
        <v>7</v>
      </c>
      <c r="I284" s="224">
        <f t="shared" ref="I284" si="171">IF(OR(H284=0,G284=0),0,G284/H284)</f>
        <v>394</v>
      </c>
      <c r="J284" s="224">
        <v>26748</v>
      </c>
      <c r="K284" s="226">
        <f t="shared" ref="K284:K289" si="172">G284/$G$527</f>
        <v>4.7755598551755201E-4</v>
      </c>
      <c r="L284" s="224">
        <f t="shared" ref="L284" si="173">G284/E284</f>
        <v>183.86666666666667</v>
      </c>
      <c r="M284" s="261"/>
    </row>
    <row r="285" spans="1:13" s="228" customFormat="1" x14ac:dyDescent="0.15">
      <c r="A285" s="221"/>
      <c r="B285" s="222" t="s">
        <v>260</v>
      </c>
      <c r="C285" s="223" t="s">
        <v>362</v>
      </c>
      <c r="D285" s="223" t="s">
        <v>1954</v>
      </c>
      <c r="E285" s="224">
        <v>8.36</v>
      </c>
      <c r="F285" s="222" t="s">
        <v>2318</v>
      </c>
      <c r="G285" s="224">
        <v>4490</v>
      </c>
      <c r="H285" s="225">
        <v>15</v>
      </c>
      <c r="I285" s="224">
        <f t="shared" si="168"/>
        <v>299.33333333333331</v>
      </c>
      <c r="J285" s="224">
        <v>25209</v>
      </c>
      <c r="K285" s="226">
        <f t="shared" si="172"/>
        <v>7.7745698875047444E-4</v>
      </c>
      <c r="L285" s="224">
        <f t="shared" si="169"/>
        <v>537.08133971291875</v>
      </c>
      <c r="M285" s="261"/>
    </row>
    <row r="286" spans="1:13" s="228" customFormat="1" x14ac:dyDescent="0.15">
      <c r="A286" s="221"/>
      <c r="B286" s="222" t="s">
        <v>260</v>
      </c>
      <c r="C286" s="223" t="s">
        <v>1676</v>
      </c>
      <c r="D286" s="223" t="s">
        <v>2777</v>
      </c>
      <c r="E286" s="224">
        <v>56.32</v>
      </c>
      <c r="F286" s="222" t="s">
        <v>2521</v>
      </c>
      <c r="G286" s="224">
        <v>1994</v>
      </c>
      <c r="H286" s="225">
        <v>1</v>
      </c>
      <c r="I286" s="224">
        <f t="shared" ref="I286" si="174">IF(OR(H286=0,G286=0),0,G286/H286)</f>
        <v>1994</v>
      </c>
      <c r="J286" s="224">
        <v>11860</v>
      </c>
      <c r="K286" s="226">
        <f t="shared" si="172"/>
        <v>3.452670903270481E-4</v>
      </c>
      <c r="L286" s="224">
        <f t="shared" ref="L286" si="175">G286/E286</f>
        <v>35.404829545454547</v>
      </c>
      <c r="M286" s="261"/>
    </row>
    <row r="287" spans="1:13" s="228" customFormat="1" x14ac:dyDescent="0.15">
      <c r="A287" s="221"/>
      <c r="B287" s="222" t="s">
        <v>260</v>
      </c>
      <c r="C287" s="223" t="s">
        <v>363</v>
      </c>
      <c r="D287" s="223" t="s">
        <v>1955</v>
      </c>
      <c r="E287" s="224">
        <v>79.260000000000005</v>
      </c>
      <c r="F287" s="222" t="s">
        <v>2318</v>
      </c>
      <c r="G287" s="224">
        <v>11525</v>
      </c>
      <c r="H287" s="225">
        <v>18</v>
      </c>
      <c r="I287" s="224">
        <f t="shared" si="168"/>
        <v>640.27777777777783</v>
      </c>
      <c r="J287" s="224">
        <v>137178</v>
      </c>
      <c r="K287" s="226">
        <f t="shared" si="172"/>
        <v>1.9955883731290021E-3</v>
      </c>
      <c r="L287" s="224">
        <f t="shared" si="169"/>
        <v>145.40751955589198</v>
      </c>
      <c r="M287" s="261"/>
    </row>
    <row r="288" spans="1:13" s="228" customFormat="1" x14ac:dyDescent="0.15">
      <c r="A288" s="221"/>
      <c r="B288" s="222" t="s">
        <v>260</v>
      </c>
      <c r="C288" s="223" t="s">
        <v>521</v>
      </c>
      <c r="D288" s="223" t="s">
        <v>2778</v>
      </c>
      <c r="E288" s="224">
        <v>270.97000000000003</v>
      </c>
      <c r="F288" s="222" t="s">
        <v>2779</v>
      </c>
      <c r="G288" s="224">
        <v>1330</v>
      </c>
      <c r="H288" s="225">
        <v>2</v>
      </c>
      <c r="I288" s="224">
        <f t="shared" si="168"/>
        <v>665</v>
      </c>
      <c r="J288" s="224">
        <v>32970</v>
      </c>
      <c r="K288" s="226">
        <f t="shared" si="172"/>
        <v>2.3029349555414946E-4</v>
      </c>
      <c r="L288" s="224">
        <f t="shared" si="169"/>
        <v>4.9082924308964087</v>
      </c>
      <c r="M288" s="261"/>
    </row>
    <row r="289" spans="1:13" s="228" customFormat="1" x14ac:dyDescent="0.15">
      <c r="A289" s="221"/>
      <c r="B289" s="222" t="s">
        <v>260</v>
      </c>
      <c r="C289" s="223" t="s">
        <v>379</v>
      </c>
      <c r="D289" s="223" t="s">
        <v>1956</v>
      </c>
      <c r="E289" s="224">
        <v>73</v>
      </c>
      <c r="F289" s="222" t="s">
        <v>2318</v>
      </c>
      <c r="G289" s="224">
        <v>3320</v>
      </c>
      <c r="H289" s="225">
        <v>11</v>
      </c>
      <c r="I289" s="224">
        <f t="shared" si="168"/>
        <v>301.81818181818181</v>
      </c>
      <c r="J289" s="224">
        <v>58366</v>
      </c>
      <c r="K289" s="226">
        <f t="shared" si="172"/>
        <v>5.7486797386449334E-4</v>
      </c>
      <c r="L289" s="224">
        <f t="shared" si="169"/>
        <v>45.479452054794521</v>
      </c>
      <c r="M289" s="261"/>
    </row>
    <row r="290" spans="1:13" s="228" customFormat="1" x14ac:dyDescent="0.15">
      <c r="A290" s="221"/>
      <c r="B290" s="222" t="s">
        <v>260</v>
      </c>
      <c r="C290" s="223" t="s">
        <v>841</v>
      </c>
      <c r="D290" s="223" t="s">
        <v>1957</v>
      </c>
      <c r="E290" s="224">
        <v>73</v>
      </c>
      <c r="F290" s="222" t="s">
        <v>2318</v>
      </c>
      <c r="G290" s="224">
        <v>3262</v>
      </c>
      <c r="H290" s="225">
        <v>8</v>
      </c>
      <c r="I290" s="224">
        <f t="shared" si="168"/>
        <v>407.75</v>
      </c>
      <c r="J290" s="224">
        <v>71979</v>
      </c>
      <c r="K290" s="226">
        <f t="shared" ref="K290:K357" si="176">G290/$G$527</f>
        <v>5.6482509962228235E-4</v>
      </c>
      <c r="L290" s="224">
        <f t="shared" si="169"/>
        <v>44.684931506849317</v>
      </c>
      <c r="M290" s="261"/>
    </row>
    <row r="291" spans="1:13" s="228" customFormat="1" x14ac:dyDescent="0.15">
      <c r="A291" s="221"/>
      <c r="B291" s="222" t="s">
        <v>260</v>
      </c>
      <c r="C291" s="223" t="s">
        <v>1664</v>
      </c>
      <c r="D291" s="223" t="s">
        <v>2780</v>
      </c>
      <c r="E291" s="224">
        <v>50.66</v>
      </c>
      <c r="F291" s="222" t="s">
        <v>2521</v>
      </c>
      <c r="G291" s="224">
        <v>1319.2</v>
      </c>
      <c r="H291" s="225">
        <v>2</v>
      </c>
      <c r="I291" s="224">
        <f t="shared" ref="I291:I292" si="177">IF(OR(H291=0,G291=0),0,G291/H291)</f>
        <v>659.6</v>
      </c>
      <c r="J291" s="224">
        <v>18117.899999999998</v>
      </c>
      <c r="K291" s="226">
        <f t="shared" si="176"/>
        <v>2.284234431090481E-4</v>
      </c>
      <c r="L291" s="224">
        <f t="shared" ref="L291:L292" si="178">G291/E291</f>
        <v>26.040268456375841</v>
      </c>
      <c r="M291" s="261"/>
    </row>
    <row r="292" spans="1:13" s="228" customFormat="1" x14ac:dyDescent="0.15">
      <c r="A292" s="221"/>
      <c r="B292" s="222" t="s">
        <v>260</v>
      </c>
      <c r="C292" s="223" t="s">
        <v>1666</v>
      </c>
      <c r="D292" s="223" t="s">
        <v>2781</v>
      </c>
      <c r="E292" s="224">
        <v>46</v>
      </c>
      <c r="F292" s="222" t="s">
        <v>2521</v>
      </c>
      <c r="G292" s="224">
        <v>1535.3</v>
      </c>
      <c r="H292" s="225">
        <v>2</v>
      </c>
      <c r="I292" s="224">
        <f t="shared" si="177"/>
        <v>767.65</v>
      </c>
      <c r="J292" s="224">
        <v>25570.6</v>
      </c>
      <c r="K292" s="226">
        <f t="shared" si="176"/>
        <v>2.6584180731149294E-4</v>
      </c>
      <c r="L292" s="224">
        <f t="shared" si="178"/>
        <v>33.376086956521739</v>
      </c>
      <c r="M292" s="261"/>
    </row>
    <row r="293" spans="1:13" s="228" customFormat="1" x14ac:dyDescent="0.15">
      <c r="A293" s="221"/>
      <c r="B293" s="222" t="s">
        <v>260</v>
      </c>
      <c r="C293" s="223" t="s">
        <v>842</v>
      </c>
      <c r="D293" s="223" t="s">
        <v>1958</v>
      </c>
      <c r="E293" s="224">
        <v>63</v>
      </c>
      <c r="F293" s="222" t="s">
        <v>2318</v>
      </c>
      <c r="G293" s="224">
        <v>1990</v>
      </c>
      <c r="H293" s="225">
        <v>3</v>
      </c>
      <c r="I293" s="224">
        <f t="shared" si="168"/>
        <v>663.33333333333337</v>
      </c>
      <c r="J293" s="224">
        <v>33397</v>
      </c>
      <c r="K293" s="226">
        <f t="shared" si="176"/>
        <v>3.4457447831034391E-4</v>
      </c>
      <c r="L293" s="224">
        <f t="shared" si="169"/>
        <v>31.587301587301589</v>
      </c>
      <c r="M293" s="261"/>
    </row>
    <row r="294" spans="1:13" s="228" customFormat="1" x14ac:dyDescent="0.15">
      <c r="A294" s="221"/>
      <c r="B294" s="222" t="s">
        <v>454</v>
      </c>
      <c r="C294" s="223" t="s">
        <v>457</v>
      </c>
      <c r="D294" s="223" t="s">
        <v>1959</v>
      </c>
      <c r="E294" s="224">
        <v>77.16</v>
      </c>
      <c r="F294" s="222" t="s">
        <v>2318</v>
      </c>
      <c r="G294" s="224">
        <v>2585</v>
      </c>
      <c r="H294" s="225">
        <v>9</v>
      </c>
      <c r="I294" s="224">
        <f t="shared" si="168"/>
        <v>287.22222222222223</v>
      </c>
      <c r="J294" s="224">
        <v>32020</v>
      </c>
      <c r="K294" s="226">
        <f t="shared" si="176"/>
        <v>4.4760051579509499E-4</v>
      </c>
      <c r="L294" s="224">
        <f t="shared" si="169"/>
        <v>33.501814411612237</v>
      </c>
      <c r="M294" s="261"/>
    </row>
    <row r="295" spans="1:13" s="228" customFormat="1" x14ac:dyDescent="0.15">
      <c r="A295" s="221"/>
      <c r="B295" s="222" t="s">
        <v>260</v>
      </c>
      <c r="C295" s="222" t="s">
        <v>733</v>
      </c>
      <c r="D295" s="222" t="s">
        <v>1960</v>
      </c>
      <c r="E295" s="224">
        <v>54.91</v>
      </c>
      <c r="F295" s="222" t="s">
        <v>2318</v>
      </c>
      <c r="G295" s="224">
        <v>2636</v>
      </c>
      <c r="H295" s="225">
        <v>7</v>
      </c>
      <c r="I295" s="224">
        <f t="shared" si="168"/>
        <v>376.57142857142856</v>
      </c>
      <c r="J295" s="224">
        <v>20715</v>
      </c>
      <c r="K295" s="226">
        <f t="shared" si="176"/>
        <v>4.5643131900807363E-4</v>
      </c>
      <c r="L295" s="224">
        <f t="shared" si="169"/>
        <v>48.005827718084142</v>
      </c>
      <c r="M295" s="261"/>
    </row>
    <row r="296" spans="1:13" s="228" customFormat="1" x14ac:dyDescent="0.15">
      <c r="A296" s="221"/>
      <c r="B296" s="222" t="s">
        <v>260</v>
      </c>
      <c r="C296" s="222" t="s">
        <v>818</v>
      </c>
      <c r="D296" s="222" t="s">
        <v>2782</v>
      </c>
      <c r="E296" s="224">
        <v>41.22</v>
      </c>
      <c r="F296" s="222" t="s">
        <v>2521</v>
      </c>
      <c r="G296" s="224">
        <v>1412</v>
      </c>
      <c r="H296" s="225">
        <v>3</v>
      </c>
      <c r="I296" s="224">
        <f t="shared" si="168"/>
        <v>470.66666666666669</v>
      </c>
      <c r="J296" s="224">
        <v>27055</v>
      </c>
      <c r="K296" s="226">
        <f t="shared" si="176"/>
        <v>2.4449204189658572E-4</v>
      </c>
      <c r="L296" s="224">
        <f t="shared" si="169"/>
        <v>34.255215914604562</v>
      </c>
      <c r="M296" s="261"/>
    </row>
    <row r="297" spans="1:13" s="228" customFormat="1" x14ac:dyDescent="0.15">
      <c r="A297" s="221"/>
      <c r="B297" s="222" t="s">
        <v>260</v>
      </c>
      <c r="C297" s="223" t="s">
        <v>1697</v>
      </c>
      <c r="D297" s="223" t="s">
        <v>2783</v>
      </c>
      <c r="E297" s="224">
        <v>64.260000000000005</v>
      </c>
      <c r="F297" s="222" t="s">
        <v>2521</v>
      </c>
      <c r="G297" s="224">
        <v>3051</v>
      </c>
      <c r="H297" s="225">
        <v>4</v>
      </c>
      <c r="I297" s="224">
        <f t="shared" ref="I297" si="179">IF(OR(H297=0,G297=0),0,G297/H297)</f>
        <v>762.75</v>
      </c>
      <c r="J297" s="224">
        <v>33016</v>
      </c>
      <c r="K297" s="226">
        <f t="shared" si="176"/>
        <v>5.2828981574113538E-4</v>
      </c>
      <c r="L297" s="224">
        <f t="shared" ref="L297" si="180">G297/E297</f>
        <v>47.47899159663865</v>
      </c>
      <c r="M297" s="261"/>
    </row>
    <row r="298" spans="1:13" s="228" customFormat="1" x14ac:dyDescent="0.15">
      <c r="A298" s="221"/>
      <c r="B298" s="222" t="s">
        <v>260</v>
      </c>
      <c r="C298" s="236" t="s">
        <v>365</v>
      </c>
      <c r="D298" s="223" t="s">
        <v>2784</v>
      </c>
      <c r="E298" s="224">
        <v>89.48</v>
      </c>
      <c r="F298" s="222" t="s">
        <v>2687</v>
      </c>
      <c r="G298" s="224">
        <v>754</v>
      </c>
      <c r="H298" s="225">
        <v>2</v>
      </c>
      <c r="I298" s="224">
        <f t="shared" si="168"/>
        <v>377</v>
      </c>
      <c r="J298" s="224">
        <v>14524.4</v>
      </c>
      <c r="K298" s="226">
        <f t="shared" si="176"/>
        <v>1.3055736514874339E-4</v>
      </c>
      <c r="L298" s="224">
        <f t="shared" si="169"/>
        <v>8.426464014304873</v>
      </c>
      <c r="M298" s="261"/>
    </row>
    <row r="299" spans="1:13" s="228" customFormat="1" x14ac:dyDescent="0.15">
      <c r="A299" s="221"/>
      <c r="B299" s="222" t="s">
        <v>260</v>
      </c>
      <c r="C299" s="236" t="s">
        <v>890</v>
      </c>
      <c r="D299" s="223" t="s">
        <v>1949</v>
      </c>
      <c r="E299" s="224">
        <v>86.18</v>
      </c>
      <c r="F299" s="222" t="s">
        <v>2318</v>
      </c>
      <c r="G299" s="224">
        <v>1781</v>
      </c>
      <c r="H299" s="225">
        <v>6</v>
      </c>
      <c r="I299" s="224">
        <f t="shared" si="168"/>
        <v>296.83333333333331</v>
      </c>
      <c r="J299" s="224">
        <v>23022.9</v>
      </c>
      <c r="K299" s="226">
        <f t="shared" si="176"/>
        <v>3.0838550043754898E-4</v>
      </c>
      <c r="L299" s="224">
        <f t="shared" si="169"/>
        <v>20.666047806915756</v>
      </c>
      <c r="M299" s="261"/>
    </row>
    <row r="300" spans="1:13" s="228" customFormat="1" x14ac:dyDescent="0.15">
      <c r="A300" s="221"/>
      <c r="B300" s="222" t="s">
        <v>454</v>
      </c>
      <c r="C300" s="236" t="s">
        <v>458</v>
      </c>
      <c r="D300" s="223" t="s">
        <v>2785</v>
      </c>
      <c r="E300" s="224">
        <v>103.97</v>
      </c>
      <c r="F300" s="222" t="s">
        <v>2557</v>
      </c>
      <c r="G300" s="224">
        <v>6840</v>
      </c>
      <c r="H300" s="225">
        <v>18</v>
      </c>
      <c r="I300" s="224">
        <f t="shared" si="168"/>
        <v>380</v>
      </c>
      <c r="J300" s="224">
        <v>57033</v>
      </c>
      <c r="K300" s="226">
        <f t="shared" si="176"/>
        <v>1.1843665485641972E-3</v>
      </c>
      <c r="L300" s="224">
        <f t="shared" si="169"/>
        <v>65.788208136962581</v>
      </c>
      <c r="M300" s="261"/>
    </row>
    <row r="301" spans="1:13" s="228" customFormat="1" x14ac:dyDescent="0.15">
      <c r="A301" s="221"/>
      <c r="B301" s="222" t="s">
        <v>454</v>
      </c>
      <c r="C301" s="223" t="s">
        <v>459</v>
      </c>
      <c r="D301" s="223" t="s">
        <v>2786</v>
      </c>
      <c r="E301" s="224">
        <v>60</v>
      </c>
      <c r="F301" s="222" t="s">
        <v>2548</v>
      </c>
      <c r="G301" s="224">
        <v>5664.89</v>
      </c>
      <c r="H301" s="225">
        <v>252</v>
      </c>
      <c r="I301" s="224">
        <f t="shared" si="168"/>
        <v>22.479722222222225</v>
      </c>
      <c r="J301" s="224">
        <v>73464.31</v>
      </c>
      <c r="K301" s="226">
        <f t="shared" si="176"/>
        <v>9.8089272182687662E-4</v>
      </c>
      <c r="L301" s="224">
        <f t="shared" si="169"/>
        <v>94.414833333333334</v>
      </c>
      <c r="M301" s="261"/>
    </row>
    <row r="302" spans="1:13" s="228" customFormat="1" x14ac:dyDescent="0.15">
      <c r="A302" s="221"/>
      <c r="B302" s="222" t="s">
        <v>260</v>
      </c>
      <c r="C302" s="223" t="s">
        <v>969</v>
      </c>
      <c r="D302" s="223" t="s">
        <v>2787</v>
      </c>
      <c r="E302" s="224">
        <v>61.3</v>
      </c>
      <c r="F302" s="222" t="s">
        <v>2515</v>
      </c>
      <c r="G302" s="224">
        <v>1020.8</v>
      </c>
      <c r="H302" s="225">
        <v>6</v>
      </c>
      <c r="I302" s="224">
        <f t="shared" si="168"/>
        <v>170.13333333333333</v>
      </c>
      <c r="J302" s="224">
        <v>12763.199999999999</v>
      </c>
      <c r="K302" s="226">
        <f t="shared" si="176"/>
        <v>1.767545866629141E-4</v>
      </c>
      <c r="L302" s="224">
        <f t="shared" si="169"/>
        <v>16.652528548123982</v>
      </c>
      <c r="M302" s="261"/>
    </row>
    <row r="303" spans="1:13" s="228" customFormat="1" x14ac:dyDescent="0.15">
      <c r="A303" s="221"/>
      <c r="B303" s="222" t="s">
        <v>260</v>
      </c>
      <c r="C303" s="223" t="s">
        <v>1021</v>
      </c>
      <c r="D303" s="223" t="s">
        <v>2788</v>
      </c>
      <c r="E303" s="224">
        <v>164</v>
      </c>
      <c r="F303" s="222" t="s">
        <v>2687</v>
      </c>
      <c r="G303" s="224">
        <v>528</v>
      </c>
      <c r="H303" s="225">
        <v>4</v>
      </c>
      <c r="I303" s="224">
        <f t="shared" si="168"/>
        <v>132</v>
      </c>
      <c r="J303" s="224">
        <v>30306</v>
      </c>
      <c r="K303" s="226">
        <f t="shared" si="176"/>
        <v>9.1424786204955574E-5</v>
      </c>
      <c r="L303" s="224">
        <f t="shared" si="169"/>
        <v>3.2195121951219514</v>
      </c>
      <c r="M303" s="261"/>
    </row>
    <row r="304" spans="1:13" s="228" customFormat="1" x14ac:dyDescent="0.15">
      <c r="A304" s="221"/>
      <c r="B304" s="222" t="s">
        <v>260</v>
      </c>
      <c r="C304" s="223" t="s">
        <v>1790</v>
      </c>
      <c r="D304" s="223" t="s">
        <v>1961</v>
      </c>
      <c r="E304" s="224">
        <v>32</v>
      </c>
      <c r="F304" s="222" t="s">
        <v>2318</v>
      </c>
      <c r="G304" s="224">
        <v>1436</v>
      </c>
      <c r="H304" s="225">
        <v>3</v>
      </c>
      <c r="I304" s="224">
        <f t="shared" ref="I304" si="181">IF(OR(H304=0,G304=0),0,G304/H304)</f>
        <v>478.66666666666669</v>
      </c>
      <c r="J304" s="224">
        <v>7045</v>
      </c>
      <c r="K304" s="226">
        <f t="shared" ref="K304" si="182">G304/$G$527</f>
        <v>2.4864771399681101E-4</v>
      </c>
      <c r="L304" s="224">
        <f t="shared" ref="L304" si="183">G304/E304</f>
        <v>44.875</v>
      </c>
      <c r="M304" s="261"/>
    </row>
    <row r="305" spans="1:13" s="228" customFormat="1" x14ac:dyDescent="0.15">
      <c r="A305" s="221"/>
      <c r="B305" s="222" t="s">
        <v>260</v>
      </c>
      <c r="C305" s="223" t="s">
        <v>1737</v>
      </c>
      <c r="D305" s="223" t="s">
        <v>2789</v>
      </c>
      <c r="E305" s="224">
        <v>70.84</v>
      </c>
      <c r="F305" s="222" t="s">
        <v>2519</v>
      </c>
      <c r="G305" s="224">
        <v>1949</v>
      </c>
      <c r="H305" s="225">
        <v>1</v>
      </c>
      <c r="I305" s="224">
        <f t="shared" ref="I305" si="184">IF(OR(H305=0,G305=0),0,G305/H305)</f>
        <v>1949</v>
      </c>
      <c r="J305" s="224">
        <v>31697</v>
      </c>
      <c r="K305" s="226">
        <f t="shared" si="176"/>
        <v>3.374752051391258E-4</v>
      </c>
      <c r="L305" s="224">
        <f t="shared" ref="L305" si="185">G305/E305</f>
        <v>27.512704686617727</v>
      </c>
      <c r="M305" s="261"/>
    </row>
    <row r="306" spans="1:13" s="228" customFormat="1" x14ac:dyDescent="0.15">
      <c r="A306" s="221"/>
      <c r="B306" s="222" t="s">
        <v>454</v>
      </c>
      <c r="C306" s="223" t="s">
        <v>956</v>
      </c>
      <c r="D306" s="223" t="s">
        <v>1945</v>
      </c>
      <c r="E306" s="224">
        <v>63.92</v>
      </c>
      <c r="F306" s="222" t="s">
        <v>2318</v>
      </c>
      <c r="G306" s="224"/>
      <c r="H306" s="225"/>
      <c r="I306" s="224">
        <f t="shared" si="168"/>
        <v>0</v>
      </c>
      <c r="J306" s="224"/>
      <c r="K306" s="226">
        <f t="shared" si="176"/>
        <v>0</v>
      </c>
      <c r="L306" s="224">
        <f t="shared" si="169"/>
        <v>0</v>
      </c>
      <c r="M306" s="261"/>
    </row>
    <row r="307" spans="1:13" s="228" customFormat="1" x14ac:dyDescent="0.15">
      <c r="A307" s="221"/>
      <c r="B307" s="222" t="s">
        <v>260</v>
      </c>
      <c r="C307" s="223" t="s">
        <v>987</v>
      </c>
      <c r="D307" s="223" t="s">
        <v>1962</v>
      </c>
      <c r="E307" s="224">
        <v>384.3</v>
      </c>
      <c r="F307" s="222" t="s">
        <v>2318</v>
      </c>
      <c r="G307" s="224"/>
      <c r="H307" s="225"/>
      <c r="I307" s="224">
        <f t="shared" si="168"/>
        <v>0</v>
      </c>
      <c r="J307" s="224">
        <v>165032</v>
      </c>
      <c r="K307" s="226">
        <f t="shared" si="176"/>
        <v>0</v>
      </c>
      <c r="L307" s="224">
        <f t="shared" si="169"/>
        <v>0</v>
      </c>
      <c r="M307" s="261"/>
    </row>
    <row r="308" spans="1:13" s="228" customFormat="1" x14ac:dyDescent="0.15">
      <c r="A308" s="221"/>
      <c r="B308" s="222" t="s">
        <v>454</v>
      </c>
      <c r="C308" s="223" t="s">
        <v>962</v>
      </c>
      <c r="D308" s="223" t="s">
        <v>2790</v>
      </c>
      <c r="E308" s="224">
        <v>47</v>
      </c>
      <c r="F308" s="222" t="s">
        <v>2517</v>
      </c>
      <c r="G308" s="224">
        <v>1194</v>
      </c>
      <c r="H308" s="225">
        <v>12</v>
      </c>
      <c r="I308" s="224">
        <f t="shared" si="168"/>
        <v>99.5</v>
      </c>
      <c r="J308" s="224">
        <v>11545</v>
      </c>
      <c r="K308" s="226">
        <f t="shared" si="176"/>
        <v>2.0674468698620636E-4</v>
      </c>
      <c r="L308" s="224">
        <f t="shared" si="169"/>
        <v>25.404255319148938</v>
      </c>
      <c r="M308" s="261"/>
    </row>
    <row r="309" spans="1:13" s="228" customFormat="1" x14ac:dyDescent="0.15">
      <c r="A309" s="221"/>
      <c r="B309" s="222" t="s">
        <v>454</v>
      </c>
      <c r="C309" s="223" t="s">
        <v>961</v>
      </c>
      <c r="D309" s="223" t="s">
        <v>2791</v>
      </c>
      <c r="E309" s="224">
        <v>48</v>
      </c>
      <c r="F309" s="222" t="s">
        <v>2569</v>
      </c>
      <c r="G309" s="224">
        <v>1113</v>
      </c>
      <c r="H309" s="225">
        <v>4</v>
      </c>
      <c r="I309" s="224">
        <f t="shared" si="168"/>
        <v>278.25</v>
      </c>
      <c r="J309" s="224">
        <v>12296</v>
      </c>
      <c r="K309" s="226">
        <f t="shared" si="176"/>
        <v>1.9271929364794612E-4</v>
      </c>
      <c r="L309" s="224">
        <f t="shared" si="169"/>
        <v>23.1875</v>
      </c>
      <c r="M309" s="261"/>
    </row>
    <row r="310" spans="1:13" s="228" customFormat="1" x14ac:dyDescent="0.15">
      <c r="A310" s="221"/>
      <c r="B310" s="222" t="s">
        <v>976</v>
      </c>
      <c r="C310" s="223" t="s">
        <v>975</v>
      </c>
      <c r="D310" s="223" t="s">
        <v>2328</v>
      </c>
      <c r="E310" s="224">
        <v>54.6</v>
      </c>
      <c r="F310" s="222" t="s">
        <v>2319</v>
      </c>
      <c r="G310" s="224">
        <v>3312</v>
      </c>
      <c r="H310" s="225">
        <v>4</v>
      </c>
      <c r="I310" s="224">
        <f t="shared" si="168"/>
        <v>828</v>
      </c>
      <c r="J310" s="224">
        <v>18430</v>
      </c>
      <c r="K310" s="226">
        <f t="shared" si="176"/>
        <v>5.7348274983108497E-4</v>
      </c>
      <c r="L310" s="224">
        <f t="shared" si="169"/>
        <v>60.659340659340657</v>
      </c>
      <c r="M310" s="261"/>
    </row>
    <row r="311" spans="1:13" s="228" customFormat="1" x14ac:dyDescent="0.15">
      <c r="A311" s="221"/>
      <c r="B311" s="222" t="s">
        <v>454</v>
      </c>
      <c r="C311" s="223" t="s">
        <v>954</v>
      </c>
      <c r="D311" s="223" t="s">
        <v>2792</v>
      </c>
      <c r="E311" s="224">
        <v>175</v>
      </c>
      <c r="F311" s="222" t="s">
        <v>2569</v>
      </c>
      <c r="G311" s="224">
        <v>740</v>
      </c>
      <c r="H311" s="225">
        <v>4</v>
      </c>
      <c r="I311" s="224">
        <f t="shared" si="168"/>
        <v>185</v>
      </c>
      <c r="J311" s="224">
        <v>51830</v>
      </c>
      <c r="K311" s="226">
        <f t="shared" si="176"/>
        <v>1.2813322309027865E-4</v>
      </c>
      <c r="L311" s="224">
        <f t="shared" si="169"/>
        <v>4.2285714285714286</v>
      </c>
      <c r="M311" s="261"/>
    </row>
    <row r="312" spans="1:13" s="228" customFormat="1" x14ac:dyDescent="0.15">
      <c r="A312" s="221"/>
      <c r="B312" s="222" t="s">
        <v>260</v>
      </c>
      <c r="C312" s="223" t="s">
        <v>984</v>
      </c>
      <c r="D312" s="223" t="s">
        <v>2793</v>
      </c>
      <c r="E312" s="224">
        <v>190</v>
      </c>
      <c r="F312" s="222" t="s">
        <v>2794</v>
      </c>
      <c r="G312" s="224">
        <v>2071</v>
      </c>
      <c r="H312" s="225">
        <v>10</v>
      </c>
      <c r="I312" s="224">
        <f t="shared" si="168"/>
        <v>207.1</v>
      </c>
      <c r="J312" s="224">
        <v>26248</v>
      </c>
      <c r="K312" s="226">
        <f t="shared" si="176"/>
        <v>3.5859987164860413E-4</v>
      </c>
      <c r="L312" s="224">
        <f t="shared" si="169"/>
        <v>10.9</v>
      </c>
      <c r="M312" s="261"/>
    </row>
    <row r="313" spans="1:13" s="228" customFormat="1" x14ac:dyDescent="0.15">
      <c r="A313" s="221"/>
      <c r="B313" s="222" t="s">
        <v>454</v>
      </c>
      <c r="C313" s="223" t="s">
        <v>964</v>
      </c>
      <c r="D313" s="223" t="s">
        <v>1963</v>
      </c>
      <c r="E313" s="224">
        <v>93.9</v>
      </c>
      <c r="F313" s="222" t="s">
        <v>17</v>
      </c>
      <c r="G313" s="224">
        <v>2061</v>
      </c>
      <c r="H313" s="225">
        <v>11</v>
      </c>
      <c r="I313" s="224">
        <f t="shared" si="168"/>
        <v>187.36363636363637</v>
      </c>
      <c r="J313" s="224">
        <v>21589</v>
      </c>
      <c r="K313" s="226">
        <f t="shared" si="176"/>
        <v>3.568683416068436E-4</v>
      </c>
      <c r="L313" s="224">
        <f t="shared" si="169"/>
        <v>21.948881789137378</v>
      </c>
      <c r="M313" s="261"/>
    </row>
    <row r="314" spans="1:13" s="228" customFormat="1" x14ac:dyDescent="0.15">
      <c r="A314" s="221"/>
      <c r="B314" s="222" t="s">
        <v>454</v>
      </c>
      <c r="C314" s="223" t="s">
        <v>955</v>
      </c>
      <c r="D314" s="223" t="s">
        <v>2795</v>
      </c>
      <c r="E314" s="224">
        <v>295</v>
      </c>
      <c r="F314" s="222" t="s">
        <v>2779</v>
      </c>
      <c r="G314" s="224">
        <v>8131.5</v>
      </c>
      <c r="H314" s="225">
        <v>106</v>
      </c>
      <c r="I314" s="224">
        <f t="shared" si="168"/>
        <v>76.712264150943398</v>
      </c>
      <c r="J314" s="224">
        <v>71554.599999999991</v>
      </c>
      <c r="K314" s="226">
        <f t="shared" si="176"/>
        <v>1.4079936534575686E-3</v>
      </c>
      <c r="L314" s="224">
        <f t="shared" si="169"/>
        <v>27.564406779661017</v>
      </c>
      <c r="M314" s="261"/>
    </row>
    <row r="315" spans="1:13" s="228" customFormat="1" x14ac:dyDescent="0.15">
      <c r="A315" s="221"/>
      <c r="B315" s="222" t="s">
        <v>454</v>
      </c>
      <c r="C315" s="223" t="s">
        <v>966</v>
      </c>
      <c r="D315" s="223" t="s">
        <v>2329</v>
      </c>
      <c r="E315" s="224">
        <v>105</v>
      </c>
      <c r="F315" s="222" t="s">
        <v>2318</v>
      </c>
      <c r="G315" s="224">
        <v>918</v>
      </c>
      <c r="H315" s="225">
        <v>7</v>
      </c>
      <c r="I315" s="224">
        <f t="shared" si="168"/>
        <v>131.14285714285714</v>
      </c>
      <c r="J315" s="224">
        <v>18713.800000000003</v>
      </c>
      <c r="K315" s="226">
        <f t="shared" si="176"/>
        <v>1.5895445783361593E-4</v>
      </c>
      <c r="L315" s="224">
        <f t="shared" si="169"/>
        <v>8.742857142857142</v>
      </c>
      <c r="M315" s="261"/>
    </row>
    <row r="316" spans="1:13" s="228" customFormat="1" x14ac:dyDescent="0.15">
      <c r="A316" s="221"/>
      <c r="B316" s="222" t="s">
        <v>454</v>
      </c>
      <c r="C316" s="223" t="s">
        <v>998</v>
      </c>
      <c r="D316" s="223" t="s">
        <v>1964</v>
      </c>
      <c r="E316" s="224">
        <v>58.95</v>
      </c>
      <c r="F316" s="222" t="s">
        <v>1944</v>
      </c>
      <c r="G316" s="224">
        <v>1058</v>
      </c>
      <c r="H316" s="225">
        <v>2</v>
      </c>
      <c r="I316" s="224">
        <f t="shared" si="168"/>
        <v>529</v>
      </c>
      <c r="J316" s="224">
        <v>8115</v>
      </c>
      <c r="K316" s="226">
        <f t="shared" si="176"/>
        <v>1.8319587841826324E-4</v>
      </c>
      <c r="L316" s="224">
        <f t="shared" si="169"/>
        <v>17.947413061916876</v>
      </c>
      <c r="M316" s="261"/>
    </row>
    <row r="317" spans="1:13" s="228" customFormat="1" x14ac:dyDescent="0.15">
      <c r="A317" s="221"/>
      <c r="B317" s="222" t="s">
        <v>454</v>
      </c>
      <c r="C317" s="223" t="s">
        <v>1044</v>
      </c>
      <c r="D317" s="223" t="s">
        <v>2796</v>
      </c>
      <c r="E317" s="224">
        <v>95.3</v>
      </c>
      <c r="F317" s="222" t="s">
        <v>2517</v>
      </c>
      <c r="G317" s="224">
        <v>4098</v>
      </c>
      <c r="H317" s="225">
        <v>45</v>
      </c>
      <c r="I317" s="224">
        <f t="shared" si="168"/>
        <v>91.066666666666663</v>
      </c>
      <c r="J317" s="224">
        <v>49865</v>
      </c>
      <c r="K317" s="226">
        <f t="shared" si="176"/>
        <v>7.0958101111346197E-4</v>
      </c>
      <c r="L317" s="224">
        <f t="shared" si="169"/>
        <v>43.001049317943341</v>
      </c>
      <c r="M317" s="261"/>
    </row>
    <row r="318" spans="1:13" s="228" customFormat="1" x14ac:dyDescent="0.15">
      <c r="A318" s="221"/>
      <c r="B318" s="222" t="s">
        <v>454</v>
      </c>
      <c r="C318" s="223" t="s">
        <v>968</v>
      </c>
      <c r="D318" s="223" t="s">
        <v>2797</v>
      </c>
      <c r="E318" s="224">
        <v>145</v>
      </c>
      <c r="F318" s="222" t="s">
        <v>2548</v>
      </c>
      <c r="G318" s="224">
        <v>2791</v>
      </c>
      <c r="H318" s="225">
        <v>17</v>
      </c>
      <c r="I318" s="224">
        <f t="shared" si="168"/>
        <v>164.1764705882353</v>
      </c>
      <c r="J318" s="224">
        <v>37526</v>
      </c>
      <c r="K318" s="226">
        <f t="shared" si="176"/>
        <v>4.8327003465536175E-4</v>
      </c>
      <c r="L318" s="224">
        <f t="shared" si="169"/>
        <v>19.248275862068965</v>
      </c>
      <c r="M318" s="261"/>
    </row>
    <row r="319" spans="1:13" s="228" customFormat="1" x14ac:dyDescent="0.15">
      <c r="A319" s="221"/>
      <c r="B319" s="222" t="s">
        <v>454</v>
      </c>
      <c r="C319" s="223" t="s">
        <v>965</v>
      </c>
      <c r="D319" s="223" t="s">
        <v>1965</v>
      </c>
      <c r="E319" s="224">
        <v>189.4</v>
      </c>
      <c r="F319" s="222" t="s">
        <v>17</v>
      </c>
      <c r="G319" s="224">
        <v>2980</v>
      </c>
      <c r="H319" s="225">
        <v>1</v>
      </c>
      <c r="I319" s="224">
        <f t="shared" si="168"/>
        <v>2980</v>
      </c>
      <c r="J319" s="224">
        <v>47457.1</v>
      </c>
      <c r="K319" s="226">
        <f t="shared" si="176"/>
        <v>5.1599595244463563E-4</v>
      </c>
      <c r="L319" s="224">
        <f t="shared" si="169"/>
        <v>15.733896515311509</v>
      </c>
      <c r="M319" s="261"/>
    </row>
    <row r="320" spans="1:13" s="228" customFormat="1" x14ac:dyDescent="0.15">
      <c r="A320" s="221"/>
      <c r="B320" s="222" t="s">
        <v>260</v>
      </c>
      <c r="C320" s="223" t="s">
        <v>1034</v>
      </c>
      <c r="D320" s="223" t="s">
        <v>2798</v>
      </c>
      <c r="E320" s="224">
        <v>132</v>
      </c>
      <c r="F320" s="222" t="s">
        <v>2548</v>
      </c>
      <c r="G320" s="224">
        <v>10006</v>
      </c>
      <c r="H320" s="225">
        <v>239</v>
      </c>
      <c r="I320" s="224">
        <f t="shared" si="168"/>
        <v>41.86610878661088</v>
      </c>
      <c r="J320" s="224">
        <v>101181.5</v>
      </c>
      <c r="K320" s="226">
        <f t="shared" si="176"/>
        <v>1.7325689597855786E-3</v>
      </c>
      <c r="L320" s="224">
        <f t="shared" si="169"/>
        <v>75.803030303030297</v>
      </c>
      <c r="M320" s="261"/>
    </row>
    <row r="321" spans="1:13" s="228" customFormat="1" x14ac:dyDescent="0.15">
      <c r="A321" s="221"/>
      <c r="B321" s="222" t="s">
        <v>454</v>
      </c>
      <c r="C321" s="223" t="s">
        <v>999</v>
      </c>
      <c r="D321" s="223" t="s">
        <v>2799</v>
      </c>
      <c r="E321" s="224">
        <v>176</v>
      </c>
      <c r="F321" s="222" t="s">
        <v>2800</v>
      </c>
      <c r="G321" s="224">
        <v>10069</v>
      </c>
      <c r="H321" s="225">
        <v>35</v>
      </c>
      <c r="I321" s="224">
        <f t="shared" si="168"/>
        <v>287.68571428571431</v>
      </c>
      <c r="J321" s="224">
        <v>119619</v>
      </c>
      <c r="K321" s="226">
        <f t="shared" si="176"/>
        <v>1.7434775990486698E-3</v>
      </c>
      <c r="L321" s="224">
        <f t="shared" si="169"/>
        <v>57.210227272727273</v>
      </c>
      <c r="M321" s="261"/>
    </row>
    <row r="322" spans="1:13" s="228" customFormat="1" x14ac:dyDescent="0.15">
      <c r="A322" s="221"/>
      <c r="B322" s="222" t="s">
        <v>260</v>
      </c>
      <c r="C322" s="223" t="s">
        <v>1635</v>
      </c>
      <c r="D322" s="223" t="s">
        <v>2801</v>
      </c>
      <c r="E322" s="224">
        <v>25</v>
      </c>
      <c r="F322" s="222" t="s">
        <v>2548</v>
      </c>
      <c r="G322" s="224">
        <v>1978</v>
      </c>
      <c r="H322" s="225">
        <v>25</v>
      </c>
      <c r="I322" s="224">
        <f t="shared" ref="I322" si="186">IF(OR(H322=0,G322=0),0,G322/H322)</f>
        <v>79.12</v>
      </c>
      <c r="J322" s="224">
        <v>26548</v>
      </c>
      <c r="K322" s="226">
        <f t="shared" si="176"/>
        <v>3.4249664226023129E-4</v>
      </c>
      <c r="L322" s="224">
        <f t="shared" ref="L322" si="187">G322/E322</f>
        <v>79.12</v>
      </c>
      <c r="M322" s="261"/>
    </row>
    <row r="323" spans="1:13" s="228" customFormat="1" x14ac:dyDescent="0.15">
      <c r="A323" s="221"/>
      <c r="B323" s="222" t="s">
        <v>454</v>
      </c>
      <c r="C323" s="229" t="s">
        <v>460</v>
      </c>
      <c r="D323" s="223" t="s">
        <v>2330</v>
      </c>
      <c r="E323" s="224">
        <v>20</v>
      </c>
      <c r="F323" s="222" t="s">
        <v>2318</v>
      </c>
      <c r="G323" s="224">
        <v>1184</v>
      </c>
      <c r="H323" s="225">
        <v>17</v>
      </c>
      <c r="I323" s="224">
        <f t="shared" si="168"/>
        <v>69.647058823529406</v>
      </c>
      <c r="J323" s="224">
        <v>24262</v>
      </c>
      <c r="K323" s="226">
        <f t="shared" si="176"/>
        <v>2.0501315694444584E-4</v>
      </c>
      <c r="L323" s="224">
        <f t="shared" si="169"/>
        <v>59.2</v>
      </c>
      <c r="M323" s="261"/>
    </row>
    <row r="324" spans="1:13" s="228" customFormat="1" x14ac:dyDescent="0.15">
      <c r="A324" s="221"/>
      <c r="B324" s="222" t="s">
        <v>260</v>
      </c>
      <c r="C324" s="229" t="s">
        <v>546</v>
      </c>
      <c r="D324" s="223" t="s">
        <v>2802</v>
      </c>
      <c r="E324" s="224">
        <v>40</v>
      </c>
      <c r="F324" s="222" t="s">
        <v>2779</v>
      </c>
      <c r="G324" s="224">
        <v>1440</v>
      </c>
      <c r="H324" s="225">
        <v>6</v>
      </c>
      <c r="I324" s="224">
        <f t="shared" si="168"/>
        <v>240</v>
      </c>
      <c r="J324" s="224">
        <v>27960</v>
      </c>
      <c r="K324" s="226">
        <f t="shared" si="176"/>
        <v>2.493403260135152E-4</v>
      </c>
      <c r="L324" s="224">
        <f t="shared" si="169"/>
        <v>36</v>
      </c>
      <c r="M324" s="261"/>
    </row>
    <row r="325" spans="1:13" s="228" customFormat="1" x14ac:dyDescent="0.15">
      <c r="A325" s="221"/>
      <c r="B325" s="222" t="s">
        <v>260</v>
      </c>
      <c r="C325" s="229" t="s">
        <v>741</v>
      </c>
      <c r="D325" s="223" t="s">
        <v>2803</v>
      </c>
      <c r="E325" s="224">
        <v>11</v>
      </c>
      <c r="F325" s="222" t="s">
        <v>2687</v>
      </c>
      <c r="G325" s="224">
        <v>318</v>
      </c>
      <c r="H325" s="225">
        <v>1</v>
      </c>
      <c r="I325" s="224">
        <f t="shared" si="168"/>
        <v>318</v>
      </c>
      <c r="J325" s="224">
        <v>7730</v>
      </c>
      <c r="K325" s="226">
        <f t="shared" si="176"/>
        <v>5.5062655327984609E-5</v>
      </c>
      <c r="L325" s="224">
        <f t="shared" si="169"/>
        <v>28.90909090909091</v>
      </c>
      <c r="M325" s="261"/>
    </row>
    <row r="326" spans="1:13" s="228" customFormat="1" ht="18" customHeight="1" x14ac:dyDescent="0.15">
      <c r="A326" s="221"/>
      <c r="B326" s="222" t="s">
        <v>260</v>
      </c>
      <c r="C326" s="229" t="s">
        <v>853</v>
      </c>
      <c r="D326" s="223" t="s">
        <v>2331</v>
      </c>
      <c r="E326" s="224">
        <v>6</v>
      </c>
      <c r="F326" s="222" t="s">
        <v>2318</v>
      </c>
      <c r="G326" s="224"/>
      <c r="H326" s="225"/>
      <c r="I326" s="224">
        <f t="shared" si="168"/>
        <v>0</v>
      </c>
      <c r="J326" s="224"/>
      <c r="K326" s="226">
        <f t="shared" si="176"/>
        <v>0</v>
      </c>
      <c r="L326" s="224">
        <f t="shared" si="169"/>
        <v>0</v>
      </c>
      <c r="M326" s="261"/>
    </row>
    <row r="327" spans="1:13" s="228" customFormat="1" x14ac:dyDescent="0.15">
      <c r="A327" s="221"/>
      <c r="B327" s="222" t="s">
        <v>260</v>
      </c>
      <c r="C327" s="278" t="s">
        <v>892</v>
      </c>
      <c r="D327" s="222" t="s">
        <v>2804</v>
      </c>
      <c r="E327" s="224">
        <v>30</v>
      </c>
      <c r="F327" s="222" t="s">
        <v>2548</v>
      </c>
      <c r="G327" s="224">
        <v>955</v>
      </c>
      <c r="H327" s="225">
        <v>11</v>
      </c>
      <c r="I327" s="224">
        <f t="shared" si="168"/>
        <v>86.818181818181813</v>
      </c>
      <c r="J327" s="224">
        <v>14664</v>
      </c>
      <c r="K327" s="226">
        <f t="shared" si="176"/>
        <v>1.6536111898812986E-4</v>
      </c>
      <c r="L327" s="224">
        <f t="shared" si="169"/>
        <v>31.833333333333332</v>
      </c>
      <c r="M327" s="261"/>
    </row>
    <row r="328" spans="1:13" s="228" customFormat="1" x14ac:dyDescent="0.15">
      <c r="A328" s="221"/>
      <c r="B328" s="222" t="s">
        <v>260</v>
      </c>
      <c r="C328" s="278" t="s">
        <v>1801</v>
      </c>
      <c r="D328" s="222" t="s">
        <v>1966</v>
      </c>
      <c r="E328" s="224">
        <v>28</v>
      </c>
      <c r="F328" s="222" t="s">
        <v>2318</v>
      </c>
      <c r="G328" s="224">
        <v>2204.3000000000002</v>
      </c>
      <c r="H328" s="225">
        <v>8</v>
      </c>
      <c r="I328" s="224">
        <f t="shared" ref="I328" si="188">IF(OR(H328=0,G328=0),0,G328/H328)</f>
        <v>275.53750000000002</v>
      </c>
      <c r="J328" s="224">
        <v>5928</v>
      </c>
      <c r="K328" s="226">
        <f t="shared" ref="K328" si="189">G328/$G$527</f>
        <v>3.8168116710527193E-4</v>
      </c>
      <c r="L328" s="224">
        <f t="shared" ref="L328" si="190">G328/E328</f>
        <v>78.725000000000009</v>
      </c>
      <c r="M328" s="261"/>
    </row>
    <row r="329" spans="1:13" s="228" customFormat="1" x14ac:dyDescent="0.15">
      <c r="A329" s="221"/>
      <c r="B329" s="222" t="s">
        <v>260</v>
      </c>
      <c r="C329" s="229" t="s">
        <v>963</v>
      </c>
      <c r="D329" s="223" t="s">
        <v>2805</v>
      </c>
      <c r="E329" s="224">
        <v>16</v>
      </c>
      <c r="F329" s="222" t="s">
        <v>2517</v>
      </c>
      <c r="G329" s="224">
        <v>222</v>
      </c>
      <c r="H329" s="225">
        <v>6</v>
      </c>
      <c r="I329" s="224">
        <f t="shared" si="168"/>
        <v>37</v>
      </c>
      <c r="J329" s="224">
        <v>6338</v>
      </c>
      <c r="K329" s="226">
        <f t="shared" si="176"/>
        <v>3.843996692708359E-5</v>
      </c>
      <c r="L329" s="224">
        <f t="shared" si="169"/>
        <v>13.875</v>
      </c>
      <c r="M329" s="261"/>
    </row>
    <row r="330" spans="1:13" s="228" customFormat="1" x14ac:dyDescent="0.15">
      <c r="A330" s="221"/>
      <c r="B330" s="222" t="s">
        <v>260</v>
      </c>
      <c r="C330" s="229" t="s">
        <v>1092</v>
      </c>
      <c r="D330" s="223" t="s">
        <v>2806</v>
      </c>
      <c r="E330" s="224">
        <v>28</v>
      </c>
      <c r="F330" s="222" t="s">
        <v>2687</v>
      </c>
      <c r="G330" s="224">
        <v>1929</v>
      </c>
      <c r="H330" s="225">
        <v>37</v>
      </c>
      <c r="I330" s="224">
        <f t="shared" ref="I330" si="191">IF(OR(H330=0,G330=0),0,G330/H330)</f>
        <v>52.135135135135137</v>
      </c>
      <c r="J330" s="224">
        <v>28177</v>
      </c>
      <c r="K330" s="226">
        <f t="shared" si="176"/>
        <v>3.3401214505560475E-4</v>
      </c>
      <c r="L330" s="224">
        <f t="shared" ref="L330" si="192">G330/E330</f>
        <v>68.892857142857139</v>
      </c>
      <c r="M330" s="261"/>
    </row>
    <row r="331" spans="1:13" s="228" customFormat="1" x14ac:dyDescent="0.15">
      <c r="A331" s="221"/>
      <c r="B331" s="222" t="s">
        <v>454</v>
      </c>
      <c r="C331" s="229" t="s">
        <v>1654</v>
      </c>
      <c r="D331" s="223" t="s">
        <v>2807</v>
      </c>
      <c r="E331" s="224">
        <v>73</v>
      </c>
      <c r="F331" s="222" t="s">
        <v>2557</v>
      </c>
      <c r="G331" s="224">
        <v>2378</v>
      </c>
      <c r="H331" s="225">
        <v>23</v>
      </c>
      <c r="I331" s="224">
        <f t="shared" ref="I331:I400" si="193">IF(OR(H331=0,G331=0),0,G331/H331)</f>
        <v>103.39130434782609</v>
      </c>
      <c r="J331" s="224">
        <v>52468</v>
      </c>
      <c r="K331" s="226">
        <f t="shared" si="176"/>
        <v>4.117578439306522E-4</v>
      </c>
      <c r="L331" s="224">
        <f t="shared" ref="L331:L400" si="194">G331/E331</f>
        <v>32.575342465753423</v>
      </c>
      <c r="M331" s="261"/>
    </row>
    <row r="332" spans="1:13" s="286" customFormat="1" x14ac:dyDescent="0.15">
      <c r="A332" s="230" t="s">
        <v>412</v>
      </c>
      <c r="B332" s="231"/>
      <c r="C332" s="231"/>
      <c r="D332" s="232"/>
      <c r="E332" s="233">
        <f>SUM(E275:E331)</f>
        <v>8519.7999999999993</v>
      </c>
      <c r="F332" s="232"/>
      <c r="G332" s="233">
        <f>SUM(G275:G331)</f>
        <v>294431.78999999998</v>
      </c>
      <c r="H332" s="234">
        <f>SUM(H275:H331)</f>
        <v>1323</v>
      </c>
      <c r="I332" s="233">
        <f t="shared" si="193"/>
        <v>222.54859410430836</v>
      </c>
      <c r="J332" s="233">
        <f>SUM(J275:J331)</f>
        <v>3834442.46</v>
      </c>
      <c r="K332" s="235">
        <f t="shared" si="176"/>
        <v>5.0981748963432529E-2</v>
      </c>
      <c r="L332" s="233">
        <f t="shared" si="194"/>
        <v>34.558533064156435</v>
      </c>
      <c r="M332" s="262"/>
    </row>
    <row r="333" spans="1:13" s="228" customFormat="1" x14ac:dyDescent="0.15">
      <c r="A333" s="221"/>
      <c r="B333" s="222" t="s">
        <v>275</v>
      </c>
      <c r="C333" s="223" t="s">
        <v>749</v>
      </c>
      <c r="D333" s="223" t="s">
        <v>2808</v>
      </c>
      <c r="E333" s="224">
        <v>34</v>
      </c>
      <c r="F333" s="222" t="s">
        <v>2517</v>
      </c>
      <c r="G333" s="224">
        <v>1556</v>
      </c>
      <c r="H333" s="225">
        <v>41</v>
      </c>
      <c r="I333" s="224">
        <f t="shared" si="193"/>
        <v>37.951219512195124</v>
      </c>
      <c r="J333" s="224">
        <v>18254.599999999999</v>
      </c>
      <c r="K333" s="226">
        <f t="shared" si="176"/>
        <v>2.6942607449793724E-4</v>
      </c>
      <c r="L333" s="224">
        <f t="shared" si="194"/>
        <v>45.764705882352942</v>
      </c>
      <c r="M333" s="261"/>
    </row>
    <row r="334" spans="1:13" s="228" customFormat="1" x14ac:dyDescent="0.15">
      <c r="A334" s="221"/>
      <c r="B334" s="222" t="s">
        <v>275</v>
      </c>
      <c r="C334" s="223" t="s">
        <v>751</v>
      </c>
      <c r="D334" s="223" t="s">
        <v>2809</v>
      </c>
      <c r="E334" s="224">
        <v>36.6</v>
      </c>
      <c r="F334" s="222" t="s">
        <v>2517</v>
      </c>
      <c r="G334" s="224">
        <v>1351</v>
      </c>
      <c r="H334" s="225">
        <v>13</v>
      </c>
      <c r="I334" s="224">
        <f t="shared" si="193"/>
        <v>103.92307692307692</v>
      </c>
      <c r="J334" s="224">
        <v>20296</v>
      </c>
      <c r="K334" s="226">
        <f t="shared" si="176"/>
        <v>2.3392970864184655E-4</v>
      </c>
      <c r="L334" s="224">
        <f t="shared" si="194"/>
        <v>36.912568306010925</v>
      </c>
      <c r="M334" s="261"/>
    </row>
    <row r="335" spans="1:13" s="228" customFormat="1" x14ac:dyDescent="0.15">
      <c r="A335" s="221"/>
      <c r="B335" s="222" t="s">
        <v>461</v>
      </c>
      <c r="C335" s="223" t="s">
        <v>462</v>
      </c>
      <c r="D335" s="223" t="s">
        <v>2810</v>
      </c>
      <c r="E335" s="224">
        <v>450.98</v>
      </c>
      <c r="F335" s="222" t="s">
        <v>2800</v>
      </c>
      <c r="G335" s="224">
        <v>15874</v>
      </c>
      <c r="H335" s="225">
        <v>36</v>
      </c>
      <c r="I335" s="224">
        <f t="shared" si="193"/>
        <v>440.94444444444446</v>
      </c>
      <c r="J335" s="224">
        <v>241269</v>
      </c>
      <c r="K335" s="226">
        <f t="shared" si="176"/>
        <v>2.748630788290653E-3</v>
      </c>
      <c r="L335" s="224">
        <f t="shared" si="194"/>
        <v>35.19890017295667</v>
      </c>
      <c r="M335" s="258"/>
    </row>
    <row r="336" spans="1:13" s="228" customFormat="1" x14ac:dyDescent="0.15">
      <c r="A336" s="221"/>
      <c r="B336" s="222" t="s">
        <v>461</v>
      </c>
      <c r="C336" s="223" t="s">
        <v>463</v>
      </c>
      <c r="D336" s="223" t="s">
        <v>2811</v>
      </c>
      <c r="E336" s="224">
        <v>390.86</v>
      </c>
      <c r="F336" s="222" t="s">
        <v>2517</v>
      </c>
      <c r="G336" s="224">
        <v>6414.2</v>
      </c>
      <c r="H336" s="225">
        <v>42</v>
      </c>
      <c r="I336" s="224">
        <f t="shared" si="193"/>
        <v>152.71904761904761</v>
      </c>
      <c r="J336" s="224">
        <v>128963.90000000001</v>
      </c>
      <c r="K336" s="226">
        <f t="shared" si="176"/>
        <v>1.110637999386034E-3</v>
      </c>
      <c r="L336" s="224">
        <f t="shared" si="194"/>
        <v>16.410479455559535</v>
      </c>
      <c r="M336" s="261"/>
    </row>
    <row r="337" spans="1:13" s="228" customFormat="1" x14ac:dyDescent="0.15">
      <c r="A337" s="221"/>
      <c r="B337" s="222" t="s">
        <v>275</v>
      </c>
      <c r="C337" s="223" t="s">
        <v>807</v>
      </c>
      <c r="D337" s="223" t="s">
        <v>2812</v>
      </c>
      <c r="E337" s="224">
        <v>94.06</v>
      </c>
      <c r="F337" s="222" t="s">
        <v>2517</v>
      </c>
      <c r="G337" s="224">
        <v>13837.5</v>
      </c>
      <c r="H337" s="225">
        <v>239</v>
      </c>
      <c r="I337" s="224">
        <f t="shared" si="193"/>
        <v>57.897489539748953</v>
      </c>
      <c r="J337" s="224">
        <v>105312.5</v>
      </c>
      <c r="K337" s="226">
        <f t="shared" si="176"/>
        <v>2.3960046952861227E-3</v>
      </c>
      <c r="L337" s="224">
        <f t="shared" si="194"/>
        <v>147.11354454603443</v>
      </c>
      <c r="M337" s="261"/>
    </row>
    <row r="338" spans="1:13" s="228" customFormat="1" x14ac:dyDescent="0.15">
      <c r="A338" s="221"/>
      <c r="B338" s="222" t="s">
        <v>461</v>
      </c>
      <c r="C338" s="223" t="s">
        <v>464</v>
      </c>
      <c r="D338" s="223" t="s">
        <v>2813</v>
      </c>
      <c r="E338" s="224">
        <v>486.46</v>
      </c>
      <c r="F338" s="222" t="s">
        <v>2548</v>
      </c>
      <c r="G338" s="224">
        <v>37967.5</v>
      </c>
      <c r="H338" s="225">
        <v>468</v>
      </c>
      <c r="I338" s="224">
        <f t="shared" si="193"/>
        <v>81.127136752136749</v>
      </c>
      <c r="J338" s="224">
        <v>370084</v>
      </c>
      <c r="K338" s="226">
        <f t="shared" si="176"/>
        <v>6.574186686054263E-3</v>
      </c>
      <c r="L338" s="224">
        <f t="shared" si="194"/>
        <v>78.048554865764913</v>
      </c>
      <c r="M338" s="258"/>
    </row>
    <row r="339" spans="1:13" s="228" customFormat="1" x14ac:dyDescent="0.15">
      <c r="A339" s="221"/>
      <c r="B339" s="222" t="s">
        <v>275</v>
      </c>
      <c r="C339" s="223" t="s">
        <v>759</v>
      </c>
      <c r="D339" s="223" t="s">
        <v>2814</v>
      </c>
      <c r="E339" s="224">
        <v>720</v>
      </c>
      <c r="F339" s="222" t="s">
        <v>2815</v>
      </c>
      <c r="G339" s="224">
        <v>51210</v>
      </c>
      <c r="H339" s="225">
        <v>369</v>
      </c>
      <c r="I339" s="224">
        <f t="shared" si="193"/>
        <v>138.78048780487805</v>
      </c>
      <c r="J339" s="224">
        <v>395539</v>
      </c>
      <c r="K339" s="226">
        <f t="shared" si="176"/>
        <v>8.8671653438556347E-3</v>
      </c>
      <c r="L339" s="224">
        <f t="shared" si="194"/>
        <v>71.125</v>
      </c>
      <c r="M339" s="258"/>
    </row>
    <row r="340" spans="1:13" s="228" customFormat="1" x14ac:dyDescent="0.15">
      <c r="A340" s="221"/>
      <c r="B340" s="222" t="s">
        <v>461</v>
      </c>
      <c r="C340" s="223" t="s">
        <v>465</v>
      </c>
      <c r="D340" s="223" t="s">
        <v>2816</v>
      </c>
      <c r="E340" s="224">
        <v>615.91999999999996</v>
      </c>
      <c r="F340" s="222" t="s">
        <v>2815</v>
      </c>
      <c r="G340" s="224">
        <v>16757</v>
      </c>
      <c r="H340" s="225">
        <v>101</v>
      </c>
      <c r="I340" s="224">
        <f t="shared" si="193"/>
        <v>165.9108910891089</v>
      </c>
      <c r="J340" s="224">
        <v>178083</v>
      </c>
      <c r="K340" s="226">
        <f t="shared" si="176"/>
        <v>2.9015248909781072E-3</v>
      </c>
      <c r="L340" s="224">
        <f t="shared" si="194"/>
        <v>27.206455383816081</v>
      </c>
      <c r="M340" s="258"/>
    </row>
    <row r="341" spans="1:13" s="228" customFormat="1" x14ac:dyDescent="0.15">
      <c r="A341" s="221"/>
      <c r="B341" s="222" t="s">
        <v>275</v>
      </c>
      <c r="C341" s="223" t="s">
        <v>1608</v>
      </c>
      <c r="D341" s="223" t="s">
        <v>2817</v>
      </c>
      <c r="E341" s="224">
        <v>45</v>
      </c>
      <c r="F341" s="222" t="s">
        <v>2800</v>
      </c>
      <c r="G341" s="224">
        <v>8929</v>
      </c>
      <c r="H341" s="225">
        <v>61</v>
      </c>
      <c r="I341" s="224">
        <f t="shared" ref="I341" si="195">IF(OR(H341=0,G341=0),0,G341/H341)</f>
        <v>146.37704918032787</v>
      </c>
      <c r="J341" s="224">
        <v>109600</v>
      </c>
      <c r="K341" s="226">
        <f t="shared" si="176"/>
        <v>1.5460831742879703E-3</v>
      </c>
      <c r="L341" s="224">
        <f t="shared" ref="L341" si="196">G341/E341</f>
        <v>198.42222222222222</v>
      </c>
      <c r="M341" s="258"/>
    </row>
    <row r="342" spans="1:13" s="228" customFormat="1" x14ac:dyDescent="0.15">
      <c r="A342" s="221"/>
      <c r="B342" s="222" t="s">
        <v>275</v>
      </c>
      <c r="C342" s="223" t="s">
        <v>948</v>
      </c>
      <c r="D342" s="223" t="s">
        <v>2818</v>
      </c>
      <c r="E342" s="224">
        <v>303.01</v>
      </c>
      <c r="F342" s="222" t="s">
        <v>2517</v>
      </c>
      <c r="G342" s="224">
        <v>18027</v>
      </c>
      <c r="H342" s="225">
        <v>106</v>
      </c>
      <c r="I342" s="224">
        <f t="shared" si="193"/>
        <v>170.06603773584905</v>
      </c>
      <c r="J342" s="224">
        <v>203316</v>
      </c>
      <c r="K342" s="226">
        <f t="shared" si="176"/>
        <v>3.1214292062816933E-3</v>
      </c>
      <c r="L342" s="224">
        <f t="shared" si="194"/>
        <v>59.493086036764467</v>
      </c>
      <c r="M342" s="258"/>
    </row>
    <row r="343" spans="1:13" s="228" customFormat="1" x14ac:dyDescent="0.15">
      <c r="A343" s="221"/>
      <c r="B343" s="222" t="s">
        <v>275</v>
      </c>
      <c r="C343" s="222" t="s">
        <v>1733</v>
      </c>
      <c r="D343" s="223" t="s">
        <v>2819</v>
      </c>
      <c r="E343" s="224">
        <v>122.19</v>
      </c>
      <c r="F343" s="222" t="s">
        <v>2548</v>
      </c>
      <c r="G343" s="224">
        <v>5669</v>
      </c>
      <c r="H343" s="225">
        <v>87</v>
      </c>
      <c r="I343" s="224">
        <f t="shared" ref="I343" si="197">IF(OR(H343=0,G343=0),0,G343/H343)</f>
        <v>65.160919540229884</v>
      </c>
      <c r="J343" s="224">
        <v>49475</v>
      </c>
      <c r="K343" s="226">
        <f t="shared" si="176"/>
        <v>9.816043806740401E-4</v>
      </c>
      <c r="L343" s="224">
        <f t="shared" ref="L343" si="198">G343/E343</f>
        <v>46.394958670922335</v>
      </c>
      <c r="M343" s="258"/>
    </row>
    <row r="344" spans="1:13" s="228" customFormat="1" x14ac:dyDescent="0.15">
      <c r="A344" s="221"/>
      <c r="B344" s="222" t="s">
        <v>275</v>
      </c>
      <c r="C344" s="222" t="s">
        <v>1840</v>
      </c>
      <c r="D344" s="223" t="s">
        <v>2820</v>
      </c>
      <c r="E344" s="224">
        <v>179.7</v>
      </c>
      <c r="F344" s="222" t="s">
        <v>2800</v>
      </c>
      <c r="G344" s="224">
        <v>8166</v>
      </c>
      <c r="H344" s="225">
        <v>96</v>
      </c>
      <c r="I344" s="224">
        <f t="shared" ref="I344" si="199">IF(OR(H344=0,G344=0),0,G344/H344)</f>
        <v>85.0625</v>
      </c>
      <c r="J344" s="224">
        <v>81821</v>
      </c>
      <c r="K344" s="226">
        <f t="shared" ref="K344" si="200">G344/$G$527</f>
        <v>1.4139674321016424E-3</v>
      </c>
      <c r="L344" s="224">
        <f t="shared" ref="L344" si="201">G344/E344</f>
        <v>45.442404006677798</v>
      </c>
      <c r="M344" s="258"/>
    </row>
    <row r="345" spans="1:13" s="228" customFormat="1" x14ac:dyDescent="0.15">
      <c r="A345" s="221"/>
      <c r="B345" s="222" t="s">
        <v>275</v>
      </c>
      <c r="C345" s="222" t="s">
        <v>1773</v>
      </c>
      <c r="D345" s="223" t="s">
        <v>2821</v>
      </c>
      <c r="E345" s="224">
        <v>223.06</v>
      </c>
      <c r="F345" s="222" t="s">
        <v>2517</v>
      </c>
      <c r="G345" s="224">
        <v>9650.5</v>
      </c>
      <c r="H345" s="225">
        <v>52</v>
      </c>
      <c r="I345" s="224">
        <f t="shared" ref="I345" si="202">IF(OR(H345=0,G345=0),0,G345/H345)</f>
        <v>185.58653846153845</v>
      </c>
      <c r="J345" s="224">
        <v>110253.3</v>
      </c>
      <c r="K345" s="226">
        <f t="shared" ref="K345" si="203">G345/$G$527</f>
        <v>1.6710130668009919E-3</v>
      </c>
      <c r="L345" s="224">
        <f t="shared" ref="L345" si="204">G345/E345</f>
        <v>43.264144176454764</v>
      </c>
      <c r="M345" s="258"/>
    </row>
    <row r="346" spans="1:13" s="228" customFormat="1" x14ac:dyDescent="0.15">
      <c r="A346" s="221"/>
      <c r="B346" s="222" t="s">
        <v>275</v>
      </c>
      <c r="C346" s="223" t="s">
        <v>1139</v>
      </c>
      <c r="D346" s="223" t="s">
        <v>2822</v>
      </c>
      <c r="E346" s="224">
        <v>90.6</v>
      </c>
      <c r="F346" s="222" t="s">
        <v>2517</v>
      </c>
      <c r="G346" s="224">
        <v>17423</v>
      </c>
      <c r="H346" s="225">
        <v>175</v>
      </c>
      <c r="I346" s="224">
        <f t="shared" ref="I346" si="205">IF(OR(H346=0,G346=0),0,G346/H346)</f>
        <v>99.56</v>
      </c>
      <c r="J346" s="224">
        <v>160995</v>
      </c>
      <c r="K346" s="226">
        <f t="shared" si="176"/>
        <v>3.016844791759358E-3</v>
      </c>
      <c r="L346" s="224">
        <f t="shared" ref="L346" si="206">G346/E346</f>
        <v>192.30684326710818</v>
      </c>
      <c r="M346" s="258"/>
    </row>
    <row r="347" spans="1:13" s="228" customFormat="1" x14ac:dyDescent="0.15">
      <c r="A347" s="221"/>
      <c r="B347" s="222" t="s">
        <v>275</v>
      </c>
      <c r="C347" s="223" t="s">
        <v>949</v>
      </c>
      <c r="D347" s="223" t="s">
        <v>2823</v>
      </c>
      <c r="E347" s="224">
        <v>488.17</v>
      </c>
      <c r="F347" s="222" t="s">
        <v>2815</v>
      </c>
      <c r="G347" s="224">
        <v>21153</v>
      </c>
      <c r="H347" s="225">
        <v>45</v>
      </c>
      <c r="I347" s="224">
        <f t="shared" si="193"/>
        <v>470.06666666666666</v>
      </c>
      <c r="J347" s="224">
        <v>178530</v>
      </c>
      <c r="K347" s="226">
        <f t="shared" si="176"/>
        <v>3.6627054973360326E-3</v>
      </c>
      <c r="L347" s="224">
        <f t="shared" si="194"/>
        <v>43.331216584386588</v>
      </c>
      <c r="M347" s="258"/>
    </row>
    <row r="348" spans="1:13" s="228" customFormat="1" x14ac:dyDescent="0.15">
      <c r="A348" s="221"/>
      <c r="B348" s="222" t="s">
        <v>461</v>
      </c>
      <c r="C348" s="223" t="s">
        <v>560</v>
      </c>
      <c r="D348" s="222" t="s">
        <v>2824</v>
      </c>
      <c r="E348" s="224">
        <v>125</v>
      </c>
      <c r="F348" s="222" t="s">
        <v>2517</v>
      </c>
      <c r="G348" s="224">
        <v>4920.5</v>
      </c>
      <c r="H348" s="225">
        <v>81</v>
      </c>
      <c r="I348" s="224">
        <f t="shared" si="193"/>
        <v>60.746913580246911</v>
      </c>
      <c r="J348" s="224">
        <v>60214.5</v>
      </c>
      <c r="K348" s="226">
        <f t="shared" si="176"/>
        <v>8.5199935704826496E-4</v>
      </c>
      <c r="L348" s="224">
        <f t="shared" si="194"/>
        <v>39.363999999999997</v>
      </c>
      <c r="M348" s="258"/>
    </row>
    <row r="349" spans="1:13" s="228" customFormat="1" x14ac:dyDescent="0.15">
      <c r="A349" s="221"/>
      <c r="B349" s="222" t="s">
        <v>461</v>
      </c>
      <c r="C349" s="223" t="s">
        <v>559</v>
      </c>
      <c r="D349" s="222" t="s">
        <v>2825</v>
      </c>
      <c r="E349" s="224">
        <v>240</v>
      </c>
      <c r="F349" s="222" t="s">
        <v>2815</v>
      </c>
      <c r="G349" s="224">
        <v>12534</v>
      </c>
      <c r="H349" s="225">
        <v>11</v>
      </c>
      <c r="I349" s="224">
        <f t="shared" si="193"/>
        <v>1139.4545454545455</v>
      </c>
      <c r="J349" s="224">
        <v>131849</v>
      </c>
      <c r="K349" s="226">
        <f t="shared" si="176"/>
        <v>2.1702997543426384E-3</v>
      </c>
      <c r="L349" s="224">
        <f t="shared" si="194"/>
        <v>52.225000000000001</v>
      </c>
      <c r="M349" s="258"/>
    </row>
    <row r="350" spans="1:13" s="228" customFormat="1" x14ac:dyDescent="0.15">
      <c r="A350" s="221"/>
      <c r="B350" s="222" t="s">
        <v>275</v>
      </c>
      <c r="C350" s="223" t="s">
        <v>1590</v>
      </c>
      <c r="D350" s="222" t="s">
        <v>2826</v>
      </c>
      <c r="E350" s="224">
        <v>404</v>
      </c>
      <c r="F350" s="222" t="s">
        <v>2517</v>
      </c>
      <c r="G350" s="224">
        <v>22762</v>
      </c>
      <c r="H350" s="225">
        <v>104</v>
      </c>
      <c r="I350" s="224">
        <f t="shared" ref="I350" si="207">IF(OR(H350=0,G350=0),0,G350/H350)</f>
        <v>218.86538461538461</v>
      </c>
      <c r="J350" s="224">
        <v>217895</v>
      </c>
      <c r="K350" s="226">
        <f t="shared" si="176"/>
        <v>3.9413086810553008E-3</v>
      </c>
      <c r="L350" s="224">
        <f t="shared" ref="L350" si="208">G350/E350</f>
        <v>56.341584158415841</v>
      </c>
      <c r="M350" s="258"/>
    </row>
    <row r="351" spans="1:13" s="228" customFormat="1" x14ac:dyDescent="0.15">
      <c r="A351" s="221"/>
      <c r="B351" s="222" t="s">
        <v>275</v>
      </c>
      <c r="C351" s="223" t="s">
        <v>1090</v>
      </c>
      <c r="D351" s="222" t="s">
        <v>2827</v>
      </c>
      <c r="E351" s="224">
        <v>75.19</v>
      </c>
      <c r="F351" s="222" t="s">
        <v>2548</v>
      </c>
      <c r="G351" s="224">
        <v>19477.8</v>
      </c>
      <c r="H351" s="225">
        <v>141</v>
      </c>
      <c r="I351" s="224">
        <f t="shared" si="193"/>
        <v>138.1404255319149</v>
      </c>
      <c r="J351" s="224">
        <v>175494.89999999997</v>
      </c>
      <c r="K351" s="226">
        <f t="shared" si="176"/>
        <v>3.3726395847403098E-3</v>
      </c>
      <c r="L351" s="224">
        <f t="shared" si="194"/>
        <v>259.0477457108658</v>
      </c>
      <c r="M351" s="258"/>
    </row>
    <row r="352" spans="1:13" s="228" customFormat="1" x14ac:dyDescent="0.15">
      <c r="A352" s="221"/>
      <c r="B352" s="222" t="s">
        <v>275</v>
      </c>
      <c r="C352" s="223" t="s">
        <v>913</v>
      </c>
      <c r="D352" s="223" t="s">
        <v>2828</v>
      </c>
      <c r="E352" s="224">
        <v>402.76</v>
      </c>
      <c r="F352" s="222" t="s">
        <v>2800</v>
      </c>
      <c r="G352" s="224">
        <v>40263</v>
      </c>
      <c r="H352" s="225">
        <v>78</v>
      </c>
      <c r="I352" s="224">
        <f t="shared" si="193"/>
        <v>516.19230769230774</v>
      </c>
      <c r="J352" s="224">
        <v>356559</v>
      </c>
      <c r="K352" s="226">
        <f t="shared" si="176"/>
        <v>6.9716594071403907E-3</v>
      </c>
      <c r="L352" s="224">
        <f t="shared" si="194"/>
        <v>99.967722713278377</v>
      </c>
      <c r="M352" s="258"/>
    </row>
    <row r="353" spans="1:13" s="228" customFormat="1" x14ac:dyDescent="0.15">
      <c r="A353" s="221"/>
      <c r="B353" s="222" t="s">
        <v>275</v>
      </c>
      <c r="C353" s="223" t="s">
        <v>533</v>
      </c>
      <c r="D353" s="223" t="s">
        <v>2829</v>
      </c>
      <c r="E353" s="224">
        <v>15</v>
      </c>
      <c r="F353" s="222" t="s">
        <v>2517</v>
      </c>
      <c r="G353" s="224">
        <v>1222</v>
      </c>
      <c r="H353" s="225">
        <v>37</v>
      </c>
      <c r="I353" s="224">
        <f t="shared" si="193"/>
        <v>33.027027027027025</v>
      </c>
      <c r="J353" s="224">
        <v>15714</v>
      </c>
      <c r="K353" s="226">
        <f t="shared" si="176"/>
        <v>2.1159297110313581E-4</v>
      </c>
      <c r="L353" s="224">
        <f t="shared" si="194"/>
        <v>81.466666666666669</v>
      </c>
      <c r="M353" s="261"/>
    </row>
    <row r="354" spans="1:13" s="228" customFormat="1" x14ac:dyDescent="0.15">
      <c r="A354" s="221"/>
      <c r="B354" s="222" t="s">
        <v>275</v>
      </c>
      <c r="C354" s="223" t="s">
        <v>888</v>
      </c>
      <c r="D354" s="223" t="s">
        <v>2830</v>
      </c>
      <c r="E354" s="224">
        <v>150</v>
      </c>
      <c r="F354" s="222" t="s">
        <v>2548</v>
      </c>
      <c r="G354" s="224">
        <v>30329</v>
      </c>
      <c r="H354" s="225">
        <v>125</v>
      </c>
      <c r="I354" s="224">
        <f t="shared" si="193"/>
        <v>242.63200000000001</v>
      </c>
      <c r="J354" s="224">
        <v>261988</v>
      </c>
      <c r="K354" s="226">
        <f t="shared" si="176"/>
        <v>5.2515574636554877E-3</v>
      </c>
      <c r="L354" s="224">
        <f t="shared" si="194"/>
        <v>202.19333333333333</v>
      </c>
      <c r="M354" s="261"/>
    </row>
    <row r="355" spans="1:13" s="228" customFormat="1" x14ac:dyDescent="0.15">
      <c r="A355" s="221"/>
      <c r="B355" s="222" t="s">
        <v>275</v>
      </c>
      <c r="C355" s="223" t="s">
        <v>1000</v>
      </c>
      <c r="D355" s="223" t="s">
        <v>2831</v>
      </c>
      <c r="E355" s="224">
        <v>263</v>
      </c>
      <c r="F355" s="222" t="s">
        <v>2517</v>
      </c>
      <c r="G355" s="224">
        <v>13044</v>
      </c>
      <c r="H355" s="225">
        <v>47</v>
      </c>
      <c r="I355" s="224">
        <f t="shared" si="193"/>
        <v>277.531914893617</v>
      </c>
      <c r="J355" s="224">
        <v>156217</v>
      </c>
      <c r="K355" s="226">
        <f t="shared" si="176"/>
        <v>2.2586077864724251E-3</v>
      </c>
      <c r="L355" s="224">
        <f t="shared" si="194"/>
        <v>49.596958174904941</v>
      </c>
      <c r="M355" s="261"/>
    </row>
    <row r="356" spans="1:13" s="228" customFormat="1" x14ac:dyDescent="0.15">
      <c r="A356" s="221"/>
      <c r="B356" s="222" t="s">
        <v>275</v>
      </c>
      <c r="C356" s="223" t="s">
        <v>977</v>
      </c>
      <c r="D356" s="223" t="s">
        <v>2832</v>
      </c>
      <c r="E356" s="224">
        <v>185</v>
      </c>
      <c r="F356" s="222" t="s">
        <v>2800</v>
      </c>
      <c r="G356" s="224">
        <v>9787</v>
      </c>
      <c r="H356" s="225">
        <v>40</v>
      </c>
      <c r="I356" s="224">
        <f t="shared" si="193"/>
        <v>244.67500000000001</v>
      </c>
      <c r="J356" s="224">
        <v>142544</v>
      </c>
      <c r="K356" s="226">
        <f t="shared" si="176"/>
        <v>1.694648451871023E-3</v>
      </c>
      <c r="L356" s="224">
        <f t="shared" si="194"/>
        <v>52.902702702702705</v>
      </c>
      <c r="M356" s="261"/>
    </row>
    <row r="357" spans="1:13" s="228" customFormat="1" x14ac:dyDescent="0.15">
      <c r="A357" s="221"/>
      <c r="B357" s="222" t="s">
        <v>261</v>
      </c>
      <c r="C357" s="223" t="s">
        <v>980</v>
      </c>
      <c r="D357" s="223" t="s">
        <v>2833</v>
      </c>
      <c r="E357" s="224">
        <v>445</v>
      </c>
      <c r="F357" s="222" t="s">
        <v>2517</v>
      </c>
      <c r="G357" s="224">
        <v>16804</v>
      </c>
      <c r="H357" s="225">
        <v>44</v>
      </c>
      <c r="I357" s="224">
        <f t="shared" si="193"/>
        <v>381.90909090909093</v>
      </c>
      <c r="J357" s="224">
        <v>160808</v>
      </c>
      <c r="K357" s="226">
        <f t="shared" si="176"/>
        <v>2.9096630821743817E-3</v>
      </c>
      <c r="L357" s="224">
        <f t="shared" si="194"/>
        <v>37.761797752808988</v>
      </c>
      <c r="M357" s="261"/>
    </row>
    <row r="358" spans="1:13" s="228" customFormat="1" x14ac:dyDescent="0.15">
      <c r="A358" s="221"/>
      <c r="B358" s="222" t="s">
        <v>261</v>
      </c>
      <c r="C358" s="223" t="s">
        <v>1035</v>
      </c>
      <c r="D358" s="223" t="s">
        <v>2834</v>
      </c>
      <c r="E358" s="224">
        <v>247.15</v>
      </c>
      <c r="F358" s="222" t="s">
        <v>2815</v>
      </c>
      <c r="G358" s="224">
        <v>13050</v>
      </c>
      <c r="H358" s="225">
        <v>27</v>
      </c>
      <c r="I358" s="224">
        <f t="shared" si="193"/>
        <v>483.33333333333331</v>
      </c>
      <c r="J358" s="224">
        <v>133375</v>
      </c>
      <c r="K358" s="226">
        <f t="shared" ref="K358:K391" si="209">G358/$G$527</f>
        <v>2.2596467044974813E-3</v>
      </c>
      <c r="L358" s="224">
        <f t="shared" si="194"/>
        <v>52.801942140400563</v>
      </c>
      <c r="M358" s="261"/>
    </row>
    <row r="359" spans="1:13" s="228" customFormat="1" x14ac:dyDescent="0.15">
      <c r="A359" s="221"/>
      <c r="B359" s="222" t="s">
        <v>262</v>
      </c>
      <c r="C359" s="223" t="s">
        <v>981</v>
      </c>
      <c r="D359" s="223" t="s">
        <v>2835</v>
      </c>
      <c r="E359" s="224">
        <v>298</v>
      </c>
      <c r="F359" s="222" t="s">
        <v>2517</v>
      </c>
      <c r="G359" s="224">
        <v>7536</v>
      </c>
      <c r="H359" s="225">
        <v>16</v>
      </c>
      <c r="I359" s="224">
        <f t="shared" si="193"/>
        <v>471</v>
      </c>
      <c r="J359" s="224">
        <v>103264</v>
      </c>
      <c r="K359" s="226">
        <f t="shared" si="209"/>
        <v>1.3048810394707296E-3</v>
      </c>
      <c r="L359" s="224">
        <f t="shared" si="194"/>
        <v>25.288590604026847</v>
      </c>
      <c r="M359" s="261"/>
    </row>
    <row r="360" spans="1:13" s="228" customFormat="1" x14ac:dyDescent="0.15">
      <c r="A360" s="221"/>
      <c r="B360" s="222" t="s">
        <v>275</v>
      </c>
      <c r="C360" s="223" t="s">
        <v>950</v>
      </c>
      <c r="D360" s="223" t="s">
        <v>2836</v>
      </c>
      <c r="E360" s="224">
        <v>197.34</v>
      </c>
      <c r="F360" s="222" t="s">
        <v>2815</v>
      </c>
      <c r="G360" s="224">
        <v>19268</v>
      </c>
      <c r="H360" s="225">
        <v>52</v>
      </c>
      <c r="I360" s="224">
        <f t="shared" si="193"/>
        <v>370.53846153846155</v>
      </c>
      <c r="J360" s="224">
        <v>189048</v>
      </c>
      <c r="K360" s="226">
        <f t="shared" si="209"/>
        <v>3.3363120844641741E-3</v>
      </c>
      <c r="L360" s="224">
        <f t="shared" si="194"/>
        <v>97.638593290767204</v>
      </c>
      <c r="M360" s="261"/>
    </row>
    <row r="361" spans="1:13" s="228" customFormat="1" x14ac:dyDescent="0.15">
      <c r="A361" s="221"/>
      <c r="B361" s="222" t="s">
        <v>275</v>
      </c>
      <c r="C361" s="223" t="s">
        <v>953</v>
      </c>
      <c r="D361" s="223" t="s">
        <v>2837</v>
      </c>
      <c r="E361" s="224">
        <v>246</v>
      </c>
      <c r="F361" s="222" t="s">
        <v>2548</v>
      </c>
      <c r="G361" s="224">
        <v>6240</v>
      </c>
      <c r="H361" s="225">
        <v>42</v>
      </c>
      <c r="I361" s="224">
        <f t="shared" si="193"/>
        <v>148.57142857142858</v>
      </c>
      <c r="J361" s="224">
        <v>79487</v>
      </c>
      <c r="K361" s="226">
        <f t="shared" si="209"/>
        <v>1.0804747460585659E-3</v>
      </c>
      <c r="L361" s="224">
        <f t="shared" si="194"/>
        <v>25.365853658536587</v>
      </c>
      <c r="M361" s="261"/>
    </row>
    <row r="362" spans="1:13" s="228" customFormat="1" x14ac:dyDescent="0.15">
      <c r="A362" s="221"/>
      <c r="B362" s="222" t="s">
        <v>275</v>
      </c>
      <c r="C362" s="223" t="s">
        <v>534</v>
      </c>
      <c r="D362" s="223" t="s">
        <v>2838</v>
      </c>
      <c r="E362" s="224">
        <v>56</v>
      </c>
      <c r="F362" s="222" t="s">
        <v>2548</v>
      </c>
      <c r="G362" s="224">
        <v>3251</v>
      </c>
      <c r="H362" s="225">
        <v>78</v>
      </c>
      <c r="I362" s="224">
        <f t="shared" si="193"/>
        <v>41.679487179487182</v>
      </c>
      <c r="J362" s="224">
        <v>35504</v>
      </c>
      <c r="K362" s="226">
        <f t="shared" si="209"/>
        <v>5.6292041657634575E-4</v>
      </c>
      <c r="L362" s="224">
        <f t="shared" si="194"/>
        <v>58.053571428571431</v>
      </c>
      <c r="M362" s="261"/>
    </row>
    <row r="363" spans="1:13" s="228" customFormat="1" x14ac:dyDescent="0.15">
      <c r="A363" s="284"/>
      <c r="B363" s="222" t="s">
        <v>275</v>
      </c>
      <c r="C363" s="223" t="s">
        <v>1001</v>
      </c>
      <c r="D363" s="223" t="s">
        <v>2839</v>
      </c>
      <c r="E363" s="224">
        <v>244.86</v>
      </c>
      <c r="F363" s="222" t="s">
        <v>2800</v>
      </c>
      <c r="G363" s="224">
        <v>7274</v>
      </c>
      <c r="H363" s="225">
        <v>36</v>
      </c>
      <c r="I363" s="224">
        <f t="shared" si="193"/>
        <v>202.05555555555554</v>
      </c>
      <c r="J363" s="224">
        <v>93903</v>
      </c>
      <c r="K363" s="226">
        <f t="shared" si="209"/>
        <v>1.2595149523766038E-3</v>
      </c>
      <c r="L363" s="224">
        <f t="shared" si="194"/>
        <v>29.706771216205176</v>
      </c>
      <c r="M363" s="261"/>
    </row>
    <row r="364" spans="1:13" s="228" customFormat="1" x14ac:dyDescent="0.15">
      <c r="A364" s="284"/>
      <c r="B364" s="222" t="s">
        <v>275</v>
      </c>
      <c r="C364" s="241" t="s">
        <v>864</v>
      </c>
      <c r="D364" s="223" t="s">
        <v>2840</v>
      </c>
      <c r="E364" s="224">
        <v>32.75</v>
      </c>
      <c r="F364" s="222" t="s">
        <v>2548</v>
      </c>
      <c r="G364" s="224">
        <v>1796</v>
      </c>
      <c r="H364" s="225">
        <v>21</v>
      </c>
      <c r="I364" s="224">
        <f t="shared" si="193"/>
        <v>85.523809523809518</v>
      </c>
      <c r="J364" s="224">
        <v>23290</v>
      </c>
      <c r="K364" s="226">
        <f t="shared" si="209"/>
        <v>3.1098279550018977E-4</v>
      </c>
      <c r="L364" s="224">
        <f t="shared" si="194"/>
        <v>54.839694656488547</v>
      </c>
      <c r="M364" s="258"/>
    </row>
    <row r="365" spans="1:13" s="228" customFormat="1" x14ac:dyDescent="0.15">
      <c r="A365" s="284"/>
      <c r="B365" s="222" t="s">
        <v>275</v>
      </c>
      <c r="C365" s="241" t="s">
        <v>1079</v>
      </c>
      <c r="D365" s="223" t="s">
        <v>2841</v>
      </c>
      <c r="E365" s="224">
        <v>16</v>
      </c>
      <c r="F365" s="222" t="s">
        <v>2517</v>
      </c>
      <c r="G365" s="224">
        <v>1848</v>
      </c>
      <c r="H365" s="225">
        <v>46</v>
      </c>
      <c r="I365" s="224">
        <f t="shared" ref="I365:I366" si="210">IF(OR(H365=0,G365=0),0,G365/H365)</f>
        <v>40.173913043478258</v>
      </c>
      <c r="J365" s="224">
        <v>24145</v>
      </c>
      <c r="K365" s="226">
        <f t="shared" si="209"/>
        <v>3.1998675171734448E-4</v>
      </c>
      <c r="L365" s="224">
        <f t="shared" ref="L365:L366" si="211">G365/E365</f>
        <v>115.5</v>
      </c>
      <c r="M365" s="258"/>
    </row>
    <row r="366" spans="1:13" s="228" customFormat="1" x14ac:dyDescent="0.15">
      <c r="A366" s="284"/>
      <c r="B366" s="222" t="s">
        <v>275</v>
      </c>
      <c r="C366" s="241" t="s">
        <v>1132</v>
      </c>
      <c r="D366" s="223" t="s">
        <v>2842</v>
      </c>
      <c r="E366" s="224">
        <v>20</v>
      </c>
      <c r="F366" s="222" t="s">
        <v>2517</v>
      </c>
      <c r="G366" s="224">
        <v>355</v>
      </c>
      <c r="H366" s="225">
        <v>6</v>
      </c>
      <c r="I366" s="224">
        <f t="shared" si="210"/>
        <v>59.166666666666664</v>
      </c>
      <c r="J366" s="224">
        <v>13958</v>
      </c>
      <c r="K366" s="226">
        <f t="shared" ref="K366" si="212">G366/$G$527</f>
        <v>6.1469316482498537E-5</v>
      </c>
      <c r="L366" s="224">
        <f t="shared" si="211"/>
        <v>17.75</v>
      </c>
      <c r="M366" s="258"/>
    </row>
    <row r="367" spans="1:13" s="228" customFormat="1" x14ac:dyDescent="0.15">
      <c r="A367" s="284"/>
      <c r="B367" s="222" t="s">
        <v>275</v>
      </c>
      <c r="C367" s="241" t="s">
        <v>1878</v>
      </c>
      <c r="D367" s="223" t="s">
        <v>2332</v>
      </c>
      <c r="E367" s="224">
        <v>30</v>
      </c>
      <c r="F367" s="222" t="s">
        <v>2318</v>
      </c>
      <c r="G367" s="224">
        <v>1640</v>
      </c>
      <c r="H367" s="225">
        <v>12</v>
      </c>
      <c r="I367" s="224">
        <f t="shared" si="193"/>
        <v>136.66666666666666</v>
      </c>
      <c r="J367" s="224">
        <v>6189</v>
      </c>
      <c r="K367" s="226">
        <f t="shared" si="209"/>
        <v>2.8397092684872562E-4</v>
      </c>
      <c r="L367" s="224">
        <f t="shared" si="194"/>
        <v>54.666666666666664</v>
      </c>
      <c r="M367" s="258"/>
    </row>
    <row r="368" spans="1:13" s="286" customFormat="1" x14ac:dyDescent="0.15">
      <c r="A368" s="230" t="s">
        <v>412</v>
      </c>
      <c r="B368" s="231"/>
      <c r="C368" s="231"/>
      <c r="D368" s="232"/>
      <c r="E368" s="233">
        <f>SUM(E333:E362)</f>
        <v>7630.0499999999993</v>
      </c>
      <c r="F368" s="232"/>
      <c r="G368" s="233">
        <f>SUM(G333:G367)</f>
        <v>467386</v>
      </c>
      <c r="H368" s="234">
        <f>SUM(H333:H362)</f>
        <v>2854</v>
      </c>
      <c r="I368" s="233">
        <f t="shared" si="193"/>
        <v>163.76524176594253</v>
      </c>
      <c r="J368" s="233">
        <f>SUM(J333:J362)</f>
        <v>4571753.6999999993</v>
      </c>
      <c r="K368" s="235">
        <f t="shared" si="209"/>
        <v>8.0929290009828347E-2</v>
      </c>
      <c r="L368" s="233">
        <f t="shared" si="194"/>
        <v>61.255955072378299</v>
      </c>
      <c r="M368" s="262"/>
    </row>
    <row r="369" spans="1:13" s="228" customFormat="1" x14ac:dyDescent="0.15">
      <c r="A369" s="221"/>
      <c r="B369" s="222" t="s">
        <v>466</v>
      </c>
      <c r="C369" s="223" t="s">
        <v>779</v>
      </c>
      <c r="D369" s="223" t="s">
        <v>2843</v>
      </c>
      <c r="E369" s="224">
        <v>290</v>
      </c>
      <c r="F369" s="222" t="s">
        <v>2815</v>
      </c>
      <c r="G369" s="224">
        <v>15524.5</v>
      </c>
      <c r="H369" s="225">
        <v>61</v>
      </c>
      <c r="I369" s="224">
        <f t="shared" si="193"/>
        <v>254.5</v>
      </c>
      <c r="J369" s="224">
        <v>146270</v>
      </c>
      <c r="K369" s="226">
        <f t="shared" si="209"/>
        <v>2.6881138133311227E-3</v>
      </c>
      <c r="L369" s="224">
        <f t="shared" si="194"/>
        <v>53.532758620689656</v>
      </c>
      <c r="M369" s="261"/>
    </row>
    <row r="370" spans="1:13" s="228" customFormat="1" x14ac:dyDescent="0.15">
      <c r="A370" s="221"/>
      <c r="B370" s="222" t="s">
        <v>261</v>
      </c>
      <c r="C370" s="223" t="s">
        <v>1114</v>
      </c>
      <c r="D370" s="223" t="s">
        <v>2844</v>
      </c>
      <c r="E370" s="224">
        <v>280</v>
      </c>
      <c r="F370" s="222" t="s">
        <v>2517</v>
      </c>
      <c r="G370" s="224">
        <v>12698</v>
      </c>
      <c r="H370" s="225">
        <v>69</v>
      </c>
      <c r="I370" s="224">
        <f t="shared" ref="I370" si="213">IF(OR(H370=0,G370=0),0,G370/H370)</f>
        <v>184.02898550724638</v>
      </c>
      <c r="J370" s="224">
        <v>151696</v>
      </c>
      <c r="K370" s="226">
        <f t="shared" si="209"/>
        <v>2.198696847027511E-3</v>
      </c>
      <c r="L370" s="224">
        <f t="shared" ref="L370" si="214">G370/E370</f>
        <v>45.35</v>
      </c>
      <c r="M370" s="261"/>
    </row>
    <row r="371" spans="1:13" s="228" customFormat="1" x14ac:dyDescent="0.15">
      <c r="A371" s="221"/>
      <c r="B371" s="222" t="s">
        <v>466</v>
      </c>
      <c r="C371" s="223" t="s">
        <v>467</v>
      </c>
      <c r="D371" s="223" t="s">
        <v>2845</v>
      </c>
      <c r="E371" s="224">
        <v>283.75</v>
      </c>
      <c r="F371" s="222" t="s">
        <v>2815</v>
      </c>
      <c r="G371" s="224">
        <v>19234</v>
      </c>
      <c r="H371" s="225">
        <v>37</v>
      </c>
      <c r="I371" s="224">
        <f t="shared" si="193"/>
        <v>519.83783783783781</v>
      </c>
      <c r="J371" s="224">
        <v>204581</v>
      </c>
      <c r="K371" s="226">
        <f t="shared" si="209"/>
        <v>3.3304248823221882E-3</v>
      </c>
      <c r="L371" s="224">
        <f t="shared" si="194"/>
        <v>67.785022026431719</v>
      </c>
      <c r="M371" s="261"/>
    </row>
    <row r="372" spans="1:13" s="228" customFormat="1" x14ac:dyDescent="0.15">
      <c r="A372" s="221"/>
      <c r="B372" s="222" t="s">
        <v>466</v>
      </c>
      <c r="C372" s="223" t="s">
        <v>468</v>
      </c>
      <c r="D372" s="223" t="s">
        <v>2846</v>
      </c>
      <c r="E372" s="224">
        <v>258.79000000000002</v>
      </c>
      <c r="F372" s="222" t="s">
        <v>2548</v>
      </c>
      <c r="G372" s="224">
        <v>10645</v>
      </c>
      <c r="H372" s="225">
        <v>62</v>
      </c>
      <c r="I372" s="224">
        <f t="shared" si="193"/>
        <v>171.69354838709677</v>
      </c>
      <c r="J372" s="224">
        <v>113393</v>
      </c>
      <c r="K372" s="226">
        <f t="shared" si="209"/>
        <v>1.8432137294540759E-3</v>
      </c>
      <c r="L372" s="224">
        <f t="shared" si="194"/>
        <v>41.133737779666909</v>
      </c>
      <c r="M372" s="258"/>
    </row>
    <row r="373" spans="1:13" s="228" customFormat="1" x14ac:dyDescent="0.15">
      <c r="A373" s="221"/>
      <c r="B373" s="222" t="s">
        <v>466</v>
      </c>
      <c r="C373" s="223" t="s">
        <v>1102</v>
      </c>
      <c r="D373" s="223" t="s">
        <v>2847</v>
      </c>
      <c r="E373" s="224">
        <v>232</v>
      </c>
      <c r="F373" s="222" t="s">
        <v>2815</v>
      </c>
      <c r="G373" s="224">
        <v>15538</v>
      </c>
      <c r="H373" s="225">
        <v>108</v>
      </c>
      <c r="I373" s="224">
        <f t="shared" si="193"/>
        <v>143.87037037037038</v>
      </c>
      <c r="J373" s="224">
        <v>171629</v>
      </c>
      <c r="K373" s="226">
        <f t="shared" si="209"/>
        <v>2.6904513788874995E-3</v>
      </c>
      <c r="L373" s="224">
        <f t="shared" si="194"/>
        <v>66.974137931034477</v>
      </c>
      <c r="M373" s="258"/>
    </row>
    <row r="374" spans="1:13" s="228" customFormat="1" x14ac:dyDescent="0.15">
      <c r="A374" s="221"/>
      <c r="B374" s="222" t="s">
        <v>261</v>
      </c>
      <c r="C374" s="223" t="s">
        <v>1593</v>
      </c>
      <c r="D374" s="223" t="s">
        <v>2848</v>
      </c>
      <c r="E374" s="224">
        <v>303.31</v>
      </c>
      <c r="F374" s="222" t="s">
        <v>2800</v>
      </c>
      <c r="G374" s="224">
        <v>11534</v>
      </c>
      <c r="H374" s="225">
        <v>22</v>
      </c>
      <c r="I374" s="224">
        <f t="shared" ref="I374" si="215">IF(OR(H374=0,G374=0),0,G374/H374)</f>
        <v>524.27272727272725</v>
      </c>
      <c r="J374" s="224">
        <v>133414</v>
      </c>
      <c r="K374" s="226">
        <f t="shared" si="209"/>
        <v>1.9971467501665864E-3</v>
      </c>
      <c r="L374" s="224">
        <f t="shared" ref="L374" si="216">G374/E374</f>
        <v>38.027100985790113</v>
      </c>
      <c r="M374" s="258"/>
    </row>
    <row r="375" spans="1:13" s="228" customFormat="1" x14ac:dyDescent="0.15">
      <c r="A375" s="221"/>
      <c r="B375" s="222" t="s">
        <v>261</v>
      </c>
      <c r="C375" s="223" t="s">
        <v>1739</v>
      </c>
      <c r="D375" s="223" t="s">
        <v>2849</v>
      </c>
      <c r="E375" s="224">
        <v>218</v>
      </c>
      <c r="F375" s="222" t="s">
        <v>2800</v>
      </c>
      <c r="G375" s="224">
        <v>15382</v>
      </c>
      <c r="H375" s="225">
        <v>47</v>
      </c>
      <c r="I375" s="224">
        <f t="shared" ref="I375" si="217">IF(OR(H375=0,G375=0),0,G375/H375)</f>
        <v>327.27659574468083</v>
      </c>
      <c r="J375" s="224">
        <v>169160</v>
      </c>
      <c r="K375" s="226">
        <f t="shared" si="209"/>
        <v>2.6634395102360354E-3</v>
      </c>
      <c r="L375" s="224">
        <f t="shared" ref="L375" si="218">G375/E375</f>
        <v>70.559633027522935</v>
      </c>
      <c r="M375" s="258"/>
    </row>
    <row r="376" spans="1:13" s="228" customFormat="1" x14ac:dyDescent="0.15">
      <c r="A376" s="221"/>
      <c r="B376" s="222" t="s">
        <v>466</v>
      </c>
      <c r="C376" s="223" t="s">
        <v>469</v>
      </c>
      <c r="D376" s="223" t="s">
        <v>2850</v>
      </c>
      <c r="E376" s="224">
        <v>408.26</v>
      </c>
      <c r="F376" s="222" t="s">
        <v>2815</v>
      </c>
      <c r="G376" s="224">
        <v>15384</v>
      </c>
      <c r="H376" s="225">
        <v>48</v>
      </c>
      <c r="I376" s="224">
        <f t="shared" si="193"/>
        <v>320.5</v>
      </c>
      <c r="J376" s="224">
        <v>147935</v>
      </c>
      <c r="K376" s="226">
        <f t="shared" si="209"/>
        <v>2.6637858162443873E-3</v>
      </c>
      <c r="L376" s="224">
        <f t="shared" si="194"/>
        <v>37.681869396952926</v>
      </c>
      <c r="M376" s="258"/>
    </row>
    <row r="377" spans="1:13" s="228" customFormat="1" x14ac:dyDescent="0.15">
      <c r="A377" s="221"/>
      <c r="B377" s="222" t="s">
        <v>466</v>
      </c>
      <c r="C377" s="223" t="s">
        <v>470</v>
      </c>
      <c r="D377" s="223" t="s">
        <v>2851</v>
      </c>
      <c r="E377" s="224">
        <v>1339.32</v>
      </c>
      <c r="F377" s="222" t="s">
        <v>2815</v>
      </c>
      <c r="G377" s="224">
        <v>26717.1</v>
      </c>
      <c r="H377" s="225">
        <v>104</v>
      </c>
      <c r="I377" s="224">
        <f t="shared" si="193"/>
        <v>256.8951923076923</v>
      </c>
      <c r="J377" s="224">
        <v>319662.69999999995</v>
      </c>
      <c r="K377" s="226">
        <f t="shared" si="209"/>
        <v>4.6261461278720049E-3</v>
      </c>
      <c r="L377" s="224">
        <f t="shared" si="194"/>
        <v>19.948257324612491</v>
      </c>
      <c r="M377" s="258"/>
    </row>
    <row r="378" spans="1:13" s="228" customFormat="1" x14ac:dyDescent="0.15">
      <c r="A378" s="221"/>
      <c r="B378" s="222" t="s">
        <v>466</v>
      </c>
      <c r="C378" s="223" t="s">
        <v>342</v>
      </c>
      <c r="D378" s="223" t="s">
        <v>2852</v>
      </c>
      <c r="E378" s="224">
        <v>1020</v>
      </c>
      <c r="F378" s="222" t="s">
        <v>2815</v>
      </c>
      <c r="G378" s="224">
        <v>56065.75</v>
      </c>
      <c r="H378" s="225">
        <v>346</v>
      </c>
      <c r="I378" s="224">
        <f t="shared" si="193"/>
        <v>162.03973988439307</v>
      </c>
      <c r="J378" s="224">
        <v>581037.94999999995</v>
      </c>
      <c r="K378" s="226">
        <f t="shared" si="209"/>
        <v>9.7079530438834993E-3</v>
      </c>
      <c r="L378" s="224">
        <f t="shared" si="194"/>
        <v>54.966421568627453</v>
      </c>
      <c r="M378" s="258"/>
    </row>
    <row r="379" spans="1:13" s="228" customFormat="1" x14ac:dyDescent="0.15">
      <c r="A379" s="221"/>
      <c r="B379" s="222" t="s">
        <v>466</v>
      </c>
      <c r="C379" s="223" t="s">
        <v>471</v>
      </c>
      <c r="D379" s="223" t="s">
        <v>2853</v>
      </c>
      <c r="E379" s="224">
        <v>420.48</v>
      </c>
      <c r="F379" s="222" t="s">
        <v>2815</v>
      </c>
      <c r="G379" s="224">
        <v>31894</v>
      </c>
      <c r="H379" s="225">
        <v>146</v>
      </c>
      <c r="I379" s="224">
        <f t="shared" si="193"/>
        <v>218.45205479452054</v>
      </c>
      <c r="J379" s="224">
        <v>257440</v>
      </c>
      <c r="K379" s="226">
        <f t="shared" si="209"/>
        <v>5.5225419151910095E-3</v>
      </c>
      <c r="L379" s="224">
        <f t="shared" si="194"/>
        <v>75.851407914764081</v>
      </c>
      <c r="M379" s="258"/>
    </row>
    <row r="380" spans="1:13" s="228" customFormat="1" x14ac:dyDescent="0.15">
      <c r="A380" s="221"/>
      <c r="B380" s="222" t="s">
        <v>466</v>
      </c>
      <c r="C380" s="223" t="s">
        <v>944</v>
      </c>
      <c r="D380" s="223" t="s">
        <v>2854</v>
      </c>
      <c r="E380" s="224">
        <v>583.22</v>
      </c>
      <c r="F380" s="222" t="s">
        <v>2815</v>
      </c>
      <c r="G380" s="224">
        <v>13209</v>
      </c>
      <c r="H380" s="225">
        <v>28</v>
      </c>
      <c r="I380" s="224">
        <f t="shared" si="193"/>
        <v>471.75</v>
      </c>
      <c r="J380" s="224">
        <v>136546</v>
      </c>
      <c r="K380" s="226">
        <f t="shared" si="209"/>
        <v>2.287178032161474E-3</v>
      </c>
      <c r="L380" s="224">
        <f t="shared" si="194"/>
        <v>22.648400260622061</v>
      </c>
      <c r="M380" s="258"/>
    </row>
    <row r="381" spans="1:13" s="228" customFormat="1" x14ac:dyDescent="0.15">
      <c r="A381" s="221"/>
      <c r="B381" s="222" t="s">
        <v>466</v>
      </c>
      <c r="C381" s="223" t="s">
        <v>472</v>
      </c>
      <c r="D381" s="223" t="s">
        <v>2855</v>
      </c>
      <c r="E381" s="224">
        <v>787.98</v>
      </c>
      <c r="F381" s="222" t="s">
        <v>2815</v>
      </c>
      <c r="G381" s="224">
        <v>21483</v>
      </c>
      <c r="H381" s="225">
        <v>123</v>
      </c>
      <c r="I381" s="224">
        <f t="shared" si="193"/>
        <v>174.65853658536585</v>
      </c>
      <c r="J381" s="224">
        <v>212718</v>
      </c>
      <c r="K381" s="226">
        <f t="shared" si="209"/>
        <v>3.7198459887141299E-3</v>
      </c>
      <c r="L381" s="224">
        <f t="shared" si="194"/>
        <v>27.263382319348207</v>
      </c>
      <c r="M381" s="258"/>
    </row>
    <row r="382" spans="1:13" s="228" customFormat="1" x14ac:dyDescent="0.15">
      <c r="A382" s="221"/>
      <c r="B382" s="222" t="s">
        <v>261</v>
      </c>
      <c r="C382" s="222" t="s">
        <v>732</v>
      </c>
      <c r="D382" s="222" t="s">
        <v>2856</v>
      </c>
      <c r="E382" s="224">
        <v>98.52</v>
      </c>
      <c r="F382" s="222" t="s">
        <v>2548</v>
      </c>
      <c r="G382" s="224">
        <v>4744</v>
      </c>
      <c r="H382" s="225">
        <v>19</v>
      </c>
      <c r="I382" s="224">
        <f t="shared" si="193"/>
        <v>249.68421052631578</v>
      </c>
      <c r="J382" s="224">
        <v>56940</v>
      </c>
      <c r="K382" s="226">
        <f t="shared" si="209"/>
        <v>8.2143785181119173E-4</v>
      </c>
      <c r="L382" s="224">
        <f t="shared" si="194"/>
        <v>48.152659358505886</v>
      </c>
      <c r="M382" s="258"/>
    </row>
    <row r="383" spans="1:13" s="228" customFormat="1" x14ac:dyDescent="0.15">
      <c r="A383" s="221"/>
      <c r="B383" s="222" t="s">
        <v>466</v>
      </c>
      <c r="C383" s="223" t="s">
        <v>473</v>
      </c>
      <c r="D383" s="223" t="s">
        <v>2857</v>
      </c>
      <c r="E383" s="224">
        <v>584.27</v>
      </c>
      <c r="F383" s="222" t="s">
        <v>2800</v>
      </c>
      <c r="G383" s="224">
        <v>29921.8</v>
      </c>
      <c r="H383" s="225">
        <v>116</v>
      </c>
      <c r="I383" s="224">
        <f t="shared" si="193"/>
        <v>257.94655172413792</v>
      </c>
      <c r="J383" s="224">
        <v>330851.43</v>
      </c>
      <c r="K383" s="226">
        <f t="shared" si="209"/>
        <v>5.1810495603549995E-3</v>
      </c>
      <c r="L383" s="224">
        <f t="shared" si="194"/>
        <v>51.212281992914235</v>
      </c>
      <c r="M383" s="258"/>
    </row>
    <row r="384" spans="1:13" s="228" customFormat="1" x14ac:dyDescent="0.15">
      <c r="A384" s="221"/>
      <c r="B384" s="222" t="s">
        <v>261</v>
      </c>
      <c r="C384" s="222" t="s">
        <v>683</v>
      </c>
      <c r="D384" s="222" t="s">
        <v>2858</v>
      </c>
      <c r="E384" s="224">
        <v>134.41999999999999</v>
      </c>
      <c r="F384" s="222" t="s">
        <v>2517</v>
      </c>
      <c r="G384" s="224">
        <v>4951</v>
      </c>
      <c r="H384" s="225">
        <v>66</v>
      </c>
      <c r="I384" s="224">
        <f t="shared" si="193"/>
        <v>75.015151515151516</v>
      </c>
      <c r="J384" s="224">
        <v>41905</v>
      </c>
      <c r="K384" s="226">
        <f t="shared" si="209"/>
        <v>8.5728052367563452E-4</v>
      </c>
      <c r="L384" s="224">
        <f t="shared" si="194"/>
        <v>36.832316619550667</v>
      </c>
      <c r="M384" s="258"/>
    </row>
    <row r="385" spans="1:13" s="228" customFormat="1" x14ac:dyDescent="0.15">
      <c r="A385" s="221"/>
      <c r="B385" s="222" t="s">
        <v>261</v>
      </c>
      <c r="C385" s="222" t="s">
        <v>817</v>
      </c>
      <c r="D385" s="222" t="s">
        <v>2859</v>
      </c>
      <c r="E385" s="224">
        <v>290</v>
      </c>
      <c r="F385" s="222" t="s">
        <v>2800</v>
      </c>
      <c r="G385" s="224">
        <v>23943</v>
      </c>
      <c r="H385" s="225">
        <v>68</v>
      </c>
      <c r="I385" s="224">
        <f t="shared" si="193"/>
        <v>352.10294117647061</v>
      </c>
      <c r="J385" s="224">
        <v>275524</v>
      </c>
      <c r="K385" s="226">
        <f t="shared" si="209"/>
        <v>4.145802378987218E-3</v>
      </c>
      <c r="L385" s="224">
        <f t="shared" si="194"/>
        <v>82.562068965517241</v>
      </c>
      <c r="M385" s="258"/>
    </row>
    <row r="386" spans="1:13" s="228" customFormat="1" x14ac:dyDescent="0.15">
      <c r="A386" s="221"/>
      <c r="B386" s="222" t="s">
        <v>261</v>
      </c>
      <c r="C386" s="222" t="s">
        <v>816</v>
      </c>
      <c r="D386" s="222" t="s">
        <v>2860</v>
      </c>
      <c r="E386" s="224">
        <v>349.3</v>
      </c>
      <c r="F386" s="222" t="s">
        <v>2815</v>
      </c>
      <c r="G386" s="224">
        <v>11537.8</v>
      </c>
      <c r="H386" s="225">
        <v>46</v>
      </c>
      <c r="I386" s="224">
        <f t="shared" si="193"/>
        <v>250.82173913043476</v>
      </c>
      <c r="J386" s="224">
        <v>138130.09999999998</v>
      </c>
      <c r="K386" s="226">
        <f t="shared" si="209"/>
        <v>1.9978047315824554E-3</v>
      </c>
      <c r="L386" s="224">
        <f t="shared" si="194"/>
        <v>33.03120526767821</v>
      </c>
      <c r="M386" s="258"/>
    </row>
    <row r="387" spans="1:13" s="228" customFormat="1" x14ac:dyDescent="0.15">
      <c r="A387" s="221"/>
      <c r="B387" s="222" t="s">
        <v>261</v>
      </c>
      <c r="C387" s="222" t="s">
        <v>1136</v>
      </c>
      <c r="D387" s="222" t="s">
        <v>2333</v>
      </c>
      <c r="E387" s="224">
        <v>10</v>
      </c>
      <c r="F387" s="222" t="s">
        <v>2318</v>
      </c>
      <c r="G387" s="224"/>
      <c r="H387" s="225"/>
      <c r="I387" s="224">
        <f t="shared" ref="I387" si="219">IF(OR(H387=0,G387=0),0,G387/H387)</f>
        <v>0</v>
      </c>
      <c r="J387" s="224">
        <v>5784</v>
      </c>
      <c r="K387" s="226">
        <f t="shared" si="209"/>
        <v>0</v>
      </c>
      <c r="L387" s="224"/>
      <c r="M387" s="258"/>
    </row>
    <row r="388" spans="1:13" s="228" customFormat="1" x14ac:dyDescent="0.15">
      <c r="A388" s="221"/>
      <c r="B388" s="222" t="s">
        <v>261</v>
      </c>
      <c r="C388" s="222" t="s">
        <v>691</v>
      </c>
      <c r="D388" s="222" t="s">
        <v>2861</v>
      </c>
      <c r="E388" s="224">
        <v>552</v>
      </c>
      <c r="F388" s="222" t="s">
        <v>2815</v>
      </c>
      <c r="G388" s="224">
        <v>26211</v>
      </c>
      <c r="H388" s="225">
        <v>110</v>
      </c>
      <c r="I388" s="224">
        <f t="shared" si="193"/>
        <v>238.28181818181818</v>
      </c>
      <c r="J388" s="224">
        <v>245786</v>
      </c>
      <c r="K388" s="226">
        <f t="shared" si="209"/>
        <v>4.538513392458505E-3</v>
      </c>
      <c r="L388" s="224">
        <f t="shared" si="194"/>
        <v>47.483695652173914</v>
      </c>
      <c r="M388" s="258"/>
    </row>
    <row r="389" spans="1:13" s="228" customFormat="1" x14ac:dyDescent="0.15">
      <c r="A389" s="221"/>
      <c r="B389" s="222" t="s">
        <v>466</v>
      </c>
      <c r="C389" s="223" t="s">
        <v>709</v>
      </c>
      <c r="D389" s="223" t="s">
        <v>2862</v>
      </c>
      <c r="E389" s="224">
        <v>102.19</v>
      </c>
      <c r="F389" s="222" t="s">
        <v>2548</v>
      </c>
      <c r="G389" s="224">
        <v>6549.1</v>
      </c>
      <c r="H389" s="225">
        <v>222</v>
      </c>
      <c r="I389" s="224">
        <f t="shared" si="193"/>
        <v>29.500450450450451</v>
      </c>
      <c r="J389" s="224">
        <v>72744.600000000006</v>
      </c>
      <c r="K389" s="226">
        <f t="shared" si="209"/>
        <v>1.1339963396493837E-3</v>
      </c>
      <c r="L389" s="224">
        <f t="shared" si="194"/>
        <v>64.087484098248368</v>
      </c>
      <c r="M389" s="258"/>
    </row>
    <row r="390" spans="1:13" s="228" customFormat="1" x14ac:dyDescent="0.15">
      <c r="A390" s="221"/>
      <c r="B390" s="222" t="s">
        <v>466</v>
      </c>
      <c r="C390" s="229" t="s">
        <v>117</v>
      </c>
      <c r="D390" s="223" t="s">
        <v>2334</v>
      </c>
      <c r="E390" s="224">
        <v>3045.33</v>
      </c>
      <c r="F390" s="222" t="s">
        <v>17</v>
      </c>
      <c r="G390" s="224">
        <v>9824</v>
      </c>
      <c r="H390" s="225">
        <v>13</v>
      </c>
      <c r="I390" s="224">
        <f t="shared" si="193"/>
        <v>755.69230769230774</v>
      </c>
      <c r="J390" s="224">
        <v>249972</v>
      </c>
      <c r="K390" s="226">
        <f t="shared" si="209"/>
        <v>1.701055113025537E-3</v>
      </c>
      <c r="L390" s="224">
        <f t="shared" si="194"/>
        <v>3.2259229705811849</v>
      </c>
      <c r="M390" s="258"/>
    </row>
    <row r="391" spans="1:13" s="286" customFormat="1" x14ac:dyDescent="0.15">
      <c r="A391" s="230" t="s">
        <v>412</v>
      </c>
      <c r="B391" s="231"/>
      <c r="C391" s="231"/>
      <c r="D391" s="232"/>
      <c r="E391" s="233">
        <f>SUM(E369:E390)</f>
        <v>11591.140000000003</v>
      </c>
      <c r="F391" s="232"/>
      <c r="G391" s="233">
        <f>SUM(G369:G390)</f>
        <v>382990.04999999993</v>
      </c>
      <c r="H391" s="234">
        <f>SUM(H369:H390)</f>
        <v>1861</v>
      </c>
      <c r="I391" s="233">
        <f t="shared" si="193"/>
        <v>205.79798495432559</v>
      </c>
      <c r="J391" s="233">
        <f>SUM(J369:J390)</f>
        <v>4163119.7800000003</v>
      </c>
      <c r="K391" s="235">
        <f t="shared" si="209"/>
        <v>6.631587772703644E-2</v>
      </c>
      <c r="L391" s="233">
        <f t="shared" si="194"/>
        <v>33.041620582617398</v>
      </c>
      <c r="M391" s="262"/>
    </row>
    <row r="392" spans="1:13" s="228" customFormat="1" x14ac:dyDescent="0.15">
      <c r="A392" s="221"/>
      <c r="B392" s="222" t="s">
        <v>474</v>
      </c>
      <c r="C392" s="223" t="s">
        <v>475</v>
      </c>
      <c r="D392" s="223" t="s">
        <v>2863</v>
      </c>
      <c r="E392" s="224">
        <v>83</v>
      </c>
      <c r="F392" s="222" t="s">
        <v>2517</v>
      </c>
      <c r="G392" s="224">
        <v>7745</v>
      </c>
      <c r="H392" s="225">
        <v>126</v>
      </c>
      <c r="I392" s="224">
        <f t="shared" si="193"/>
        <v>61.468253968253968</v>
      </c>
      <c r="J392" s="224">
        <v>58928</v>
      </c>
      <c r="K392" s="226">
        <f t="shared" ref="K392:K457" si="220">G392/$G$527</f>
        <v>1.3410700173435244E-3</v>
      </c>
      <c r="L392" s="224">
        <f t="shared" si="194"/>
        <v>93.313253012048193</v>
      </c>
      <c r="M392" s="258"/>
    </row>
    <row r="393" spans="1:13" s="228" customFormat="1" x14ac:dyDescent="0.15">
      <c r="A393" s="221"/>
      <c r="B393" s="222" t="s">
        <v>474</v>
      </c>
      <c r="C393" s="223" t="s">
        <v>476</v>
      </c>
      <c r="D393" s="223" t="s">
        <v>2864</v>
      </c>
      <c r="E393" s="224">
        <v>284.66000000000003</v>
      </c>
      <c r="F393" s="222" t="s">
        <v>2548</v>
      </c>
      <c r="G393" s="224">
        <v>16524.97</v>
      </c>
      <c r="H393" s="225">
        <v>478</v>
      </c>
      <c r="I393" s="224">
        <f t="shared" si="193"/>
        <v>34.571066945606695</v>
      </c>
      <c r="J393" s="224">
        <v>154349.71</v>
      </c>
      <c r="K393" s="226">
        <f t="shared" si="220"/>
        <v>2.861348199419138E-3</v>
      </c>
      <c r="L393" s="224">
        <f t="shared" si="194"/>
        <v>58.05160542401461</v>
      </c>
      <c r="M393" s="258"/>
    </row>
    <row r="394" spans="1:13" s="228" customFormat="1" x14ac:dyDescent="0.15">
      <c r="A394" s="221"/>
      <c r="B394" s="222" t="s">
        <v>262</v>
      </c>
      <c r="C394" s="223" t="s">
        <v>1145</v>
      </c>
      <c r="D394" s="223" t="s">
        <v>2865</v>
      </c>
      <c r="E394" s="224">
        <v>95</v>
      </c>
      <c r="F394" s="222" t="s">
        <v>2517</v>
      </c>
      <c r="G394" s="224">
        <v>4130</v>
      </c>
      <c r="H394" s="225">
        <v>12</v>
      </c>
      <c r="I394" s="224">
        <f t="shared" ref="I394" si="221">IF(OR(H394=0,G394=0),0,G394/H394)</f>
        <v>344.16666666666669</v>
      </c>
      <c r="J394" s="224">
        <v>40328</v>
      </c>
      <c r="K394" s="226">
        <f t="shared" si="220"/>
        <v>7.1512190724709569E-4</v>
      </c>
      <c r="L394" s="224">
        <f t="shared" ref="L394" si="222">G394/E394</f>
        <v>43.473684210526315</v>
      </c>
      <c r="M394" s="258"/>
    </row>
    <row r="395" spans="1:13" s="228" customFormat="1" x14ac:dyDescent="0.15">
      <c r="A395" s="221"/>
      <c r="B395" s="222" t="s">
        <v>474</v>
      </c>
      <c r="C395" s="223" t="s">
        <v>477</v>
      </c>
      <c r="D395" s="223" t="s">
        <v>2866</v>
      </c>
      <c r="E395" s="224">
        <v>140</v>
      </c>
      <c r="F395" s="222" t="s">
        <v>2548</v>
      </c>
      <c r="G395" s="224">
        <v>11418</v>
      </c>
      <c r="H395" s="225">
        <v>257</v>
      </c>
      <c r="I395" s="224">
        <f t="shared" si="193"/>
        <v>44.428015564202333</v>
      </c>
      <c r="J395" s="224">
        <v>95676.200000000012</v>
      </c>
      <c r="K395" s="226">
        <f t="shared" si="220"/>
        <v>1.9770610016821644E-3</v>
      </c>
      <c r="L395" s="224">
        <f t="shared" si="194"/>
        <v>81.557142857142864</v>
      </c>
      <c r="M395" s="261"/>
    </row>
    <row r="396" spans="1:13" s="228" customFormat="1" x14ac:dyDescent="0.15">
      <c r="A396" s="221"/>
      <c r="B396" s="222" t="s">
        <v>474</v>
      </c>
      <c r="C396" s="223" t="s">
        <v>478</v>
      </c>
      <c r="D396" s="223" t="s">
        <v>2867</v>
      </c>
      <c r="E396" s="224">
        <v>145.38999999999999</v>
      </c>
      <c r="F396" s="222" t="s">
        <v>2548</v>
      </c>
      <c r="G396" s="224">
        <v>8529.5</v>
      </c>
      <c r="H396" s="225">
        <v>201</v>
      </c>
      <c r="I396" s="224">
        <f t="shared" si="193"/>
        <v>42.43532338308458</v>
      </c>
      <c r="J396" s="224">
        <v>82285.599999999991</v>
      </c>
      <c r="K396" s="226">
        <f t="shared" si="220"/>
        <v>1.4769085491196374E-3</v>
      </c>
      <c r="L396" s="224">
        <f t="shared" si="194"/>
        <v>58.666345690900343</v>
      </c>
      <c r="M396" s="258"/>
    </row>
    <row r="397" spans="1:13" s="228" customFormat="1" x14ac:dyDescent="0.15">
      <c r="A397" s="221"/>
      <c r="B397" s="222" t="s">
        <v>474</v>
      </c>
      <c r="C397" s="223" t="s">
        <v>479</v>
      </c>
      <c r="D397" s="223" t="s">
        <v>2868</v>
      </c>
      <c r="E397" s="224">
        <v>291.04000000000002</v>
      </c>
      <c r="F397" s="222" t="s">
        <v>2548</v>
      </c>
      <c r="G397" s="224">
        <v>15712</v>
      </c>
      <c r="H397" s="225">
        <v>216</v>
      </c>
      <c r="I397" s="224">
        <f t="shared" si="193"/>
        <v>72.740740740740748</v>
      </c>
      <c r="J397" s="224">
        <v>169196</v>
      </c>
      <c r="K397" s="226">
        <f t="shared" si="220"/>
        <v>2.7205800016141327E-3</v>
      </c>
      <c r="L397" s="224">
        <f t="shared" si="194"/>
        <v>53.985706432105552</v>
      </c>
      <c r="M397" s="258"/>
    </row>
    <row r="398" spans="1:13" s="228" customFormat="1" x14ac:dyDescent="0.15">
      <c r="A398" s="221"/>
      <c r="B398" s="222" t="s">
        <v>474</v>
      </c>
      <c r="C398" s="223" t="s">
        <v>480</v>
      </c>
      <c r="D398" s="223" t="s">
        <v>2869</v>
      </c>
      <c r="E398" s="224">
        <v>128.26</v>
      </c>
      <c r="F398" s="222" t="s">
        <v>2517</v>
      </c>
      <c r="G398" s="224">
        <v>10879.7</v>
      </c>
      <c r="H398" s="225">
        <v>192</v>
      </c>
      <c r="I398" s="224">
        <f t="shared" si="193"/>
        <v>56.665104166666673</v>
      </c>
      <c r="J398" s="224">
        <v>108383.99999999999</v>
      </c>
      <c r="K398" s="226">
        <f t="shared" si="220"/>
        <v>1.8838527395341955E-3</v>
      </c>
      <c r="L398" s="224">
        <f t="shared" si="194"/>
        <v>84.825354748167797</v>
      </c>
      <c r="M398" s="258"/>
    </row>
    <row r="399" spans="1:13" s="228" customFormat="1" x14ac:dyDescent="0.15">
      <c r="A399" s="221"/>
      <c r="B399" s="222" t="s">
        <v>474</v>
      </c>
      <c r="C399" s="223" t="s">
        <v>481</v>
      </c>
      <c r="D399" s="223" t="s">
        <v>2870</v>
      </c>
      <c r="E399" s="224">
        <v>350</v>
      </c>
      <c r="F399" s="222" t="s">
        <v>2548</v>
      </c>
      <c r="G399" s="224">
        <v>14023.59</v>
      </c>
      <c r="H399" s="225">
        <v>491</v>
      </c>
      <c r="I399" s="224">
        <f t="shared" si="193"/>
        <v>28.561283095723013</v>
      </c>
      <c r="J399" s="224">
        <v>118338.4</v>
      </c>
      <c r="K399" s="226">
        <f t="shared" si="220"/>
        <v>2.4282267378332441E-3</v>
      </c>
      <c r="L399" s="224">
        <f t="shared" si="194"/>
        <v>40.067399999999999</v>
      </c>
      <c r="M399" s="258"/>
    </row>
    <row r="400" spans="1:13" s="228" customFormat="1" x14ac:dyDescent="0.15">
      <c r="A400" s="221"/>
      <c r="B400" s="222" t="s">
        <v>262</v>
      </c>
      <c r="C400" s="223" t="s">
        <v>612</v>
      </c>
      <c r="D400" s="223" t="s">
        <v>2871</v>
      </c>
      <c r="E400" s="224">
        <v>30</v>
      </c>
      <c r="F400" s="222" t="s">
        <v>2548</v>
      </c>
      <c r="G400" s="224">
        <v>1414</v>
      </c>
      <c r="H400" s="225">
        <v>53</v>
      </c>
      <c r="I400" s="224">
        <f t="shared" si="193"/>
        <v>26.679245283018869</v>
      </c>
      <c r="J400" s="224">
        <v>16516</v>
      </c>
      <c r="K400" s="226">
        <f t="shared" si="220"/>
        <v>2.4483834790493781E-4</v>
      </c>
      <c r="L400" s="224">
        <f t="shared" si="194"/>
        <v>47.133333333333333</v>
      </c>
      <c r="M400" s="258"/>
    </row>
    <row r="401" spans="1:13" s="228" customFormat="1" x14ac:dyDescent="0.15">
      <c r="A401" s="221"/>
      <c r="B401" s="222" t="s">
        <v>474</v>
      </c>
      <c r="C401" s="223" t="s">
        <v>482</v>
      </c>
      <c r="D401" s="223" t="s">
        <v>2872</v>
      </c>
      <c r="E401" s="224">
        <v>45</v>
      </c>
      <c r="F401" s="222" t="s">
        <v>2548</v>
      </c>
      <c r="G401" s="224">
        <v>4363.6499999999996</v>
      </c>
      <c r="H401" s="225">
        <v>112</v>
      </c>
      <c r="I401" s="224">
        <f t="shared" ref="I401:I475" si="223">IF(OR(H401=0,G401=0),0,G401/H401)</f>
        <v>38.961160714285711</v>
      </c>
      <c r="J401" s="224">
        <v>35941.800000000003</v>
      </c>
      <c r="K401" s="226">
        <f t="shared" si="220"/>
        <v>7.5557910667283022E-4</v>
      </c>
      <c r="L401" s="224">
        <f t="shared" ref="L401:L475" si="224">G401/E401</f>
        <v>96.97</v>
      </c>
      <c r="M401" s="258"/>
    </row>
    <row r="402" spans="1:13" s="228" customFormat="1" x14ac:dyDescent="0.15">
      <c r="A402" s="221"/>
      <c r="B402" s="222" t="s">
        <v>262</v>
      </c>
      <c r="C402" s="223" t="s">
        <v>609</v>
      </c>
      <c r="D402" s="223" t="s">
        <v>2873</v>
      </c>
      <c r="E402" s="224">
        <v>15</v>
      </c>
      <c r="F402" s="222" t="s">
        <v>2517</v>
      </c>
      <c r="G402" s="224">
        <v>1888</v>
      </c>
      <c r="H402" s="225">
        <v>66</v>
      </c>
      <c r="I402" s="224">
        <f t="shared" si="223"/>
        <v>28.606060606060606</v>
      </c>
      <c r="J402" s="224">
        <v>19464</v>
      </c>
      <c r="K402" s="226">
        <f t="shared" si="220"/>
        <v>3.2691287188438658E-4</v>
      </c>
      <c r="L402" s="224">
        <f t="shared" si="224"/>
        <v>125.86666666666666</v>
      </c>
      <c r="M402" s="258"/>
    </row>
    <row r="403" spans="1:13" s="228" customFormat="1" x14ac:dyDescent="0.15">
      <c r="A403" s="221"/>
      <c r="B403" s="222" t="s">
        <v>262</v>
      </c>
      <c r="C403" s="223" t="s">
        <v>721</v>
      </c>
      <c r="D403" s="223" t="s">
        <v>2874</v>
      </c>
      <c r="E403" s="224">
        <v>193.14</v>
      </c>
      <c r="F403" s="222" t="s">
        <v>2517</v>
      </c>
      <c r="G403" s="224">
        <v>12647.4</v>
      </c>
      <c r="H403" s="225">
        <v>244</v>
      </c>
      <c r="I403" s="224">
        <f t="shared" si="223"/>
        <v>51.833606557377045</v>
      </c>
      <c r="J403" s="224">
        <v>115758.09999999999</v>
      </c>
      <c r="K403" s="226">
        <f t="shared" si="220"/>
        <v>2.1899353050162029E-3</v>
      </c>
      <c r="L403" s="224">
        <f t="shared" si="224"/>
        <v>65.483069276172728</v>
      </c>
      <c r="M403" s="258"/>
    </row>
    <row r="404" spans="1:13" s="228" customFormat="1" x14ac:dyDescent="0.15">
      <c r="A404" s="221"/>
      <c r="B404" s="222" t="s">
        <v>262</v>
      </c>
      <c r="C404" s="222" t="s">
        <v>725</v>
      </c>
      <c r="D404" s="222" t="s">
        <v>2875</v>
      </c>
      <c r="E404" s="224">
        <v>171.69</v>
      </c>
      <c r="F404" s="222" t="s">
        <v>2517</v>
      </c>
      <c r="G404" s="224">
        <v>13068</v>
      </c>
      <c r="H404" s="225">
        <v>105</v>
      </c>
      <c r="I404" s="224">
        <f t="shared" si="223"/>
        <v>124.45714285714286</v>
      </c>
      <c r="J404" s="224">
        <v>129905</v>
      </c>
      <c r="K404" s="226">
        <f t="shared" si="220"/>
        <v>2.2627634585726504E-3</v>
      </c>
      <c r="L404" s="224">
        <f t="shared" si="224"/>
        <v>76.113926262449766</v>
      </c>
      <c r="M404" s="258"/>
    </row>
    <row r="405" spans="1:13" s="228" customFormat="1" x14ac:dyDescent="0.15">
      <c r="A405" s="221"/>
      <c r="B405" s="222" t="s">
        <v>262</v>
      </c>
      <c r="C405" s="222" t="s">
        <v>718</v>
      </c>
      <c r="D405" s="222" t="s">
        <v>2876</v>
      </c>
      <c r="E405" s="224">
        <v>51.06</v>
      </c>
      <c r="F405" s="222" t="s">
        <v>2517</v>
      </c>
      <c r="G405" s="224">
        <v>1804</v>
      </c>
      <c r="H405" s="225">
        <v>58</v>
      </c>
      <c r="I405" s="224">
        <f t="shared" si="223"/>
        <v>31.103448275862068</v>
      </c>
      <c r="J405" s="224">
        <v>20981</v>
      </c>
      <c r="K405" s="226">
        <f t="shared" si="220"/>
        <v>3.123680195335982E-4</v>
      </c>
      <c r="L405" s="224">
        <f t="shared" si="224"/>
        <v>35.330983157070115</v>
      </c>
      <c r="M405" s="258"/>
    </row>
    <row r="406" spans="1:13" s="228" customFormat="1" x14ac:dyDescent="0.15">
      <c r="A406" s="221"/>
      <c r="B406" s="222" t="s">
        <v>262</v>
      </c>
      <c r="C406" s="222" t="s">
        <v>1105</v>
      </c>
      <c r="D406" s="222" t="s">
        <v>2877</v>
      </c>
      <c r="E406" s="224">
        <v>100</v>
      </c>
      <c r="F406" s="222" t="s">
        <v>2548</v>
      </c>
      <c r="G406" s="224">
        <v>1978</v>
      </c>
      <c r="H406" s="225">
        <v>24</v>
      </c>
      <c r="I406" s="224">
        <f t="shared" ref="I406:I407" si="225">IF(OR(H406=0,G406=0),0,G406/H406)</f>
        <v>82.416666666666671</v>
      </c>
      <c r="J406" s="224">
        <v>19993</v>
      </c>
      <c r="K406" s="226">
        <f t="shared" si="220"/>
        <v>3.4249664226023129E-4</v>
      </c>
      <c r="L406" s="224">
        <f t="shared" ref="L406:L407" si="226">G406/E406</f>
        <v>19.78</v>
      </c>
      <c r="M406" s="258"/>
    </row>
    <row r="407" spans="1:13" s="228" customFormat="1" x14ac:dyDescent="0.15">
      <c r="A407" s="221"/>
      <c r="B407" s="222" t="s">
        <v>262</v>
      </c>
      <c r="C407" s="222" t="s">
        <v>1599</v>
      </c>
      <c r="D407" s="222" t="s">
        <v>2878</v>
      </c>
      <c r="E407" s="224">
        <v>10</v>
      </c>
      <c r="F407" s="222" t="s">
        <v>2879</v>
      </c>
      <c r="G407" s="224">
        <v>1259</v>
      </c>
      <c r="H407" s="225">
        <v>22</v>
      </c>
      <c r="I407" s="224">
        <f t="shared" si="225"/>
        <v>57.227272727272727</v>
      </c>
      <c r="J407" s="224">
        <v>11836</v>
      </c>
      <c r="K407" s="226">
        <f t="shared" si="220"/>
        <v>2.1799963225764974E-4</v>
      </c>
      <c r="L407" s="224">
        <f t="shared" si="226"/>
        <v>125.9</v>
      </c>
      <c r="M407" s="258"/>
    </row>
    <row r="408" spans="1:13" s="228" customFormat="1" x14ac:dyDescent="0.15">
      <c r="A408" s="221"/>
      <c r="B408" s="222" t="s">
        <v>474</v>
      </c>
      <c r="C408" s="241" t="s">
        <v>551</v>
      </c>
      <c r="D408" s="223" t="s">
        <v>2880</v>
      </c>
      <c r="E408" s="224">
        <v>15</v>
      </c>
      <c r="F408" s="222" t="s">
        <v>2548</v>
      </c>
      <c r="G408" s="224">
        <v>3408</v>
      </c>
      <c r="H408" s="225">
        <v>146</v>
      </c>
      <c r="I408" s="224">
        <f t="shared" si="223"/>
        <v>23.342465753424658</v>
      </c>
      <c r="J408" s="224">
        <v>32378</v>
      </c>
      <c r="K408" s="226">
        <f t="shared" si="220"/>
        <v>5.9010543823198591E-4</v>
      </c>
      <c r="L408" s="224">
        <f t="shared" si="224"/>
        <v>227.2</v>
      </c>
      <c r="M408" s="258"/>
    </row>
    <row r="409" spans="1:13" s="228" customFormat="1" x14ac:dyDescent="0.15">
      <c r="A409" s="221"/>
      <c r="B409" s="222" t="s">
        <v>262</v>
      </c>
      <c r="C409" s="241" t="s">
        <v>870</v>
      </c>
      <c r="D409" s="223" t="s">
        <v>2881</v>
      </c>
      <c r="E409" s="224">
        <v>33</v>
      </c>
      <c r="F409" s="222" t="s">
        <v>2548</v>
      </c>
      <c r="G409" s="224">
        <v>2382.6</v>
      </c>
      <c r="H409" s="225">
        <v>57</v>
      </c>
      <c r="I409" s="224">
        <f t="shared" si="223"/>
        <v>41.8</v>
      </c>
      <c r="J409" s="224">
        <v>19473.099999999999</v>
      </c>
      <c r="K409" s="226">
        <f t="shared" si="220"/>
        <v>4.1255434774986198E-4</v>
      </c>
      <c r="L409" s="224">
        <f t="shared" si="224"/>
        <v>72.2</v>
      </c>
      <c r="M409" s="258"/>
    </row>
    <row r="410" spans="1:13" s="228" customFormat="1" x14ac:dyDescent="0.15">
      <c r="A410" s="221"/>
      <c r="B410" s="222" t="s">
        <v>262</v>
      </c>
      <c r="C410" s="241" t="s">
        <v>938</v>
      </c>
      <c r="D410" s="223" t="s">
        <v>2882</v>
      </c>
      <c r="E410" s="224">
        <v>20</v>
      </c>
      <c r="F410" s="222" t="s">
        <v>2548</v>
      </c>
      <c r="G410" s="224">
        <v>852</v>
      </c>
      <c r="H410" s="225">
        <v>35</v>
      </c>
      <c r="I410" s="224">
        <f t="shared" si="223"/>
        <v>24.342857142857142</v>
      </c>
      <c r="J410" s="224">
        <v>8660</v>
      </c>
      <c r="K410" s="226">
        <f t="shared" si="220"/>
        <v>1.4752635955799648E-4</v>
      </c>
      <c r="L410" s="224">
        <f t="shared" si="224"/>
        <v>42.6</v>
      </c>
      <c r="M410" s="258"/>
    </row>
    <row r="411" spans="1:13" s="228" customFormat="1" x14ac:dyDescent="0.15">
      <c r="A411" s="221"/>
      <c r="B411" s="222" t="s">
        <v>262</v>
      </c>
      <c r="C411" s="241" t="s">
        <v>926</v>
      </c>
      <c r="D411" s="223" t="s">
        <v>2883</v>
      </c>
      <c r="E411" s="224">
        <v>23.23</v>
      </c>
      <c r="F411" s="222" t="s">
        <v>2517</v>
      </c>
      <c r="G411" s="224">
        <v>1660</v>
      </c>
      <c r="H411" s="225">
        <v>41</v>
      </c>
      <c r="I411" s="224">
        <f t="shared" si="223"/>
        <v>40.487804878048777</v>
      </c>
      <c r="J411" s="224">
        <v>17027.099999999999</v>
      </c>
      <c r="K411" s="226">
        <f t="shared" si="220"/>
        <v>2.8743398693224667E-4</v>
      </c>
      <c r="L411" s="224">
        <f t="shared" si="224"/>
        <v>71.459319845027977</v>
      </c>
      <c r="M411" s="258"/>
    </row>
    <row r="412" spans="1:13" s="228" customFormat="1" x14ac:dyDescent="0.15">
      <c r="A412" s="221"/>
      <c r="B412" s="222" t="s">
        <v>504</v>
      </c>
      <c r="C412" s="223" t="s">
        <v>503</v>
      </c>
      <c r="D412" s="223" t="s">
        <v>2884</v>
      </c>
      <c r="E412" s="224">
        <v>67.22</v>
      </c>
      <c r="F412" s="222" t="s">
        <v>2548</v>
      </c>
      <c r="G412" s="224">
        <v>2492</v>
      </c>
      <c r="H412" s="225">
        <v>83</v>
      </c>
      <c r="I412" s="224">
        <f t="shared" si="223"/>
        <v>30.024096385542169</v>
      </c>
      <c r="J412" s="224">
        <v>28524</v>
      </c>
      <c r="K412" s="226">
        <f t="shared" si="220"/>
        <v>4.3149728640672216E-4</v>
      </c>
      <c r="L412" s="224">
        <f t="shared" si="224"/>
        <v>37.072299910740853</v>
      </c>
      <c r="M412" s="261"/>
    </row>
    <row r="413" spans="1:13" s="228" customFormat="1" x14ac:dyDescent="0.15">
      <c r="A413" s="221"/>
      <c r="B413" s="222" t="s">
        <v>262</v>
      </c>
      <c r="C413" s="223" t="s">
        <v>705</v>
      </c>
      <c r="D413" s="223" t="s">
        <v>2885</v>
      </c>
      <c r="E413" s="224">
        <v>34</v>
      </c>
      <c r="F413" s="222" t="s">
        <v>2548</v>
      </c>
      <c r="G413" s="224">
        <v>2171.25</v>
      </c>
      <c r="H413" s="225">
        <v>92</v>
      </c>
      <c r="I413" s="224">
        <f t="shared" si="223"/>
        <v>23.600543478260871</v>
      </c>
      <c r="J413" s="224">
        <v>31023.5</v>
      </c>
      <c r="K413" s="226">
        <f t="shared" si="220"/>
        <v>3.7595846031725336E-4</v>
      </c>
      <c r="L413" s="224">
        <f t="shared" si="224"/>
        <v>63.860294117647058</v>
      </c>
      <c r="M413" s="261"/>
    </row>
    <row r="414" spans="1:13" s="228" customFormat="1" x14ac:dyDescent="0.15">
      <c r="A414" s="221"/>
      <c r="B414" s="222" t="s">
        <v>474</v>
      </c>
      <c r="C414" s="223" t="s">
        <v>483</v>
      </c>
      <c r="D414" s="223" t="s">
        <v>2886</v>
      </c>
      <c r="E414" s="224">
        <v>236</v>
      </c>
      <c r="F414" s="222" t="s">
        <v>2517</v>
      </c>
      <c r="G414" s="224">
        <v>22389.82</v>
      </c>
      <c r="H414" s="225">
        <v>603</v>
      </c>
      <c r="I414" s="224">
        <f t="shared" si="223"/>
        <v>37.130713101160865</v>
      </c>
      <c r="J414" s="224">
        <v>167706.56</v>
      </c>
      <c r="K414" s="226">
        <f t="shared" si="220"/>
        <v>3.8768645959610577E-3</v>
      </c>
      <c r="L414" s="224">
        <f t="shared" si="224"/>
        <v>94.872118644067797</v>
      </c>
      <c r="M414" s="258"/>
    </row>
    <row r="415" spans="1:13" s="228" customFormat="1" x14ac:dyDescent="0.15">
      <c r="A415" s="221"/>
      <c r="B415" s="222" t="s">
        <v>262</v>
      </c>
      <c r="C415" s="223" t="s">
        <v>1094</v>
      </c>
      <c r="D415" s="223" t="s">
        <v>2887</v>
      </c>
      <c r="E415" s="224">
        <v>258.42</v>
      </c>
      <c r="F415" s="222" t="s">
        <v>2517</v>
      </c>
      <c r="G415" s="224">
        <v>30729.5</v>
      </c>
      <c r="H415" s="225">
        <v>446</v>
      </c>
      <c r="I415" s="224">
        <f t="shared" ref="I415" si="227">IF(OR(H415=0,G415=0),0,G415/H415)</f>
        <v>68.900224215246638</v>
      </c>
      <c r="J415" s="224">
        <v>242494.90000000002</v>
      </c>
      <c r="K415" s="226">
        <f t="shared" si="220"/>
        <v>5.3209052418279968E-3</v>
      </c>
      <c r="L415" s="224">
        <f t="shared" ref="L415" si="228">G415/E415</f>
        <v>118.9130098289606</v>
      </c>
      <c r="M415" s="258"/>
    </row>
    <row r="416" spans="1:13" s="228" customFormat="1" x14ac:dyDescent="0.15">
      <c r="A416" s="221"/>
      <c r="B416" s="222" t="s">
        <v>262</v>
      </c>
      <c r="C416" s="223" t="s">
        <v>1708</v>
      </c>
      <c r="D416" s="223" t="s">
        <v>2888</v>
      </c>
      <c r="E416" s="224">
        <v>26</v>
      </c>
      <c r="F416" s="222" t="s">
        <v>2517</v>
      </c>
      <c r="G416" s="224">
        <v>2802</v>
      </c>
      <c r="H416" s="225">
        <v>130</v>
      </c>
      <c r="I416" s="224">
        <f t="shared" ref="I416" si="229">IF(OR(H416=0,G416=0),0,G416/H416)</f>
        <v>21.553846153846155</v>
      </c>
      <c r="J416" s="224">
        <v>28289</v>
      </c>
      <c r="K416" s="226">
        <f t="shared" si="220"/>
        <v>4.8517471770129829E-4</v>
      </c>
      <c r="L416" s="224">
        <f t="shared" ref="L416" si="230">G416/E416</f>
        <v>107.76923076923077</v>
      </c>
      <c r="M416" s="258"/>
    </row>
    <row r="417" spans="1:13" s="228" customFormat="1" x14ac:dyDescent="0.15">
      <c r="A417" s="221"/>
      <c r="B417" s="222" t="s">
        <v>262</v>
      </c>
      <c r="C417" s="223" t="s">
        <v>1752</v>
      </c>
      <c r="D417" s="223" t="s">
        <v>2889</v>
      </c>
      <c r="E417" s="224">
        <v>30</v>
      </c>
      <c r="F417" s="222" t="s">
        <v>2517</v>
      </c>
      <c r="G417" s="224">
        <v>1713</v>
      </c>
      <c r="H417" s="225">
        <v>56</v>
      </c>
      <c r="I417" s="224">
        <f t="shared" ref="I417" si="231">IF(OR(H417=0,G417=0),0,G417/H417)</f>
        <v>30.589285714285715</v>
      </c>
      <c r="J417" s="224">
        <v>14575</v>
      </c>
      <c r="K417" s="226">
        <f t="shared" ref="K417" si="232">G417/$G$527</f>
        <v>2.9661109615357746E-4</v>
      </c>
      <c r="L417" s="224">
        <f t="shared" ref="L417" si="233">G417/E417</f>
        <v>57.1</v>
      </c>
      <c r="M417" s="258"/>
    </row>
    <row r="418" spans="1:13" s="228" customFormat="1" x14ac:dyDescent="0.15">
      <c r="A418" s="221"/>
      <c r="B418" s="222" t="s">
        <v>474</v>
      </c>
      <c r="C418" s="223" t="s">
        <v>303</v>
      </c>
      <c r="D418" s="223" t="s">
        <v>2890</v>
      </c>
      <c r="E418" s="224">
        <v>84.16</v>
      </c>
      <c r="F418" s="222" t="s">
        <v>2517</v>
      </c>
      <c r="G418" s="224">
        <v>379</v>
      </c>
      <c r="H418" s="225">
        <v>3</v>
      </c>
      <c r="I418" s="224">
        <f t="shared" si="223"/>
        <v>126.33333333333333</v>
      </c>
      <c r="J418" s="224">
        <v>31372</v>
      </c>
      <c r="K418" s="226">
        <f t="shared" si="220"/>
        <v>6.5624988582723787E-5</v>
      </c>
      <c r="L418" s="224">
        <f t="shared" si="224"/>
        <v>4.5033269961977185</v>
      </c>
      <c r="M418" s="258"/>
    </row>
    <row r="419" spans="1:13" s="228" customFormat="1" x14ac:dyDescent="0.15">
      <c r="A419" s="221"/>
      <c r="B419" s="222" t="s">
        <v>262</v>
      </c>
      <c r="C419" s="223" t="s">
        <v>484</v>
      </c>
      <c r="D419" s="223" t="s">
        <v>2891</v>
      </c>
      <c r="E419" s="224">
        <v>70</v>
      </c>
      <c r="F419" s="222" t="s">
        <v>2548</v>
      </c>
      <c r="G419" s="224">
        <v>3567</v>
      </c>
      <c r="H419" s="225">
        <v>56</v>
      </c>
      <c r="I419" s="224">
        <f t="shared" si="223"/>
        <v>63.696428571428569</v>
      </c>
      <c r="J419" s="224">
        <v>48961</v>
      </c>
      <c r="K419" s="226">
        <f t="shared" si="220"/>
        <v>6.1763676589597822E-4</v>
      </c>
      <c r="L419" s="224">
        <f t="shared" si="224"/>
        <v>50.957142857142856</v>
      </c>
      <c r="M419" s="261"/>
    </row>
    <row r="420" spans="1:13" s="228" customFormat="1" x14ac:dyDescent="0.15">
      <c r="A420" s="221"/>
      <c r="B420" s="222" t="s">
        <v>262</v>
      </c>
      <c r="C420" s="223" t="s">
        <v>369</v>
      </c>
      <c r="D420" s="223" t="s">
        <v>2892</v>
      </c>
      <c r="E420" s="224">
        <v>44</v>
      </c>
      <c r="F420" s="222" t="s">
        <v>2548</v>
      </c>
      <c r="G420" s="224">
        <v>7127.2</v>
      </c>
      <c r="H420" s="225">
        <v>238</v>
      </c>
      <c r="I420" s="224">
        <f t="shared" si="223"/>
        <v>29.946218487394958</v>
      </c>
      <c r="J420" s="224">
        <v>13716.2</v>
      </c>
      <c r="K420" s="226">
        <f t="shared" si="220"/>
        <v>1.2340960913635594E-3</v>
      </c>
      <c r="L420" s="224">
        <f t="shared" si="224"/>
        <v>161.98181818181817</v>
      </c>
      <c r="M420" s="261"/>
    </row>
    <row r="421" spans="1:13" s="228" customFormat="1" x14ac:dyDescent="0.15">
      <c r="A421" s="221"/>
      <c r="B421" s="222" t="s">
        <v>262</v>
      </c>
      <c r="C421" s="223" t="s">
        <v>547</v>
      </c>
      <c r="D421" s="223" t="s">
        <v>2893</v>
      </c>
      <c r="E421" s="224">
        <v>26</v>
      </c>
      <c r="F421" s="222" t="s">
        <v>2517</v>
      </c>
      <c r="G421" s="224">
        <v>1613</v>
      </c>
      <c r="H421" s="225">
        <v>54</v>
      </c>
      <c r="I421" s="224">
        <f t="shared" si="223"/>
        <v>29.87037037037037</v>
      </c>
      <c r="J421" s="224">
        <v>21609.1</v>
      </c>
      <c r="K421" s="226">
        <f t="shared" si="220"/>
        <v>2.7929579573597222E-4</v>
      </c>
      <c r="L421" s="224">
        <f t="shared" si="224"/>
        <v>62.03846153846154</v>
      </c>
      <c r="M421" s="261"/>
    </row>
    <row r="422" spans="1:13" s="228" customFormat="1" x14ac:dyDescent="0.15">
      <c r="A422" s="221"/>
      <c r="B422" s="222" t="s">
        <v>262</v>
      </c>
      <c r="C422" s="223" t="s">
        <v>515</v>
      </c>
      <c r="D422" s="223" t="s">
        <v>2894</v>
      </c>
      <c r="E422" s="224">
        <v>6</v>
      </c>
      <c r="F422" s="222" t="s">
        <v>2517</v>
      </c>
      <c r="G422" s="224">
        <v>950.5</v>
      </c>
      <c r="H422" s="225">
        <v>46</v>
      </c>
      <c r="I422" s="224">
        <f t="shared" si="223"/>
        <v>20.663043478260871</v>
      </c>
      <c r="J422" s="224">
        <v>7325.5</v>
      </c>
      <c r="K422" s="226">
        <f t="shared" si="220"/>
        <v>1.6458193046933763E-4</v>
      </c>
      <c r="L422" s="224">
        <f t="shared" si="224"/>
        <v>158.41666666666666</v>
      </c>
      <c r="M422" s="261"/>
    </row>
    <row r="423" spans="1:13" s="228" customFormat="1" x14ac:dyDescent="0.15">
      <c r="A423" s="221"/>
      <c r="B423" s="222" t="s">
        <v>262</v>
      </c>
      <c r="C423" s="223" t="s">
        <v>673</v>
      </c>
      <c r="D423" s="222" t="s">
        <v>2895</v>
      </c>
      <c r="E423" s="224">
        <v>8.3000000000000007</v>
      </c>
      <c r="F423" s="222" t="s">
        <v>2517</v>
      </c>
      <c r="G423" s="224">
        <v>1047.4000000000001</v>
      </c>
      <c r="H423" s="225">
        <v>14</v>
      </c>
      <c r="I423" s="224">
        <f t="shared" si="223"/>
        <v>74.814285714285717</v>
      </c>
      <c r="J423" s="224">
        <v>9812.2000000000007</v>
      </c>
      <c r="K423" s="226">
        <f t="shared" si="220"/>
        <v>1.813604565739971E-4</v>
      </c>
      <c r="L423" s="224">
        <f t="shared" si="224"/>
        <v>126.19277108433735</v>
      </c>
      <c r="M423" s="261"/>
    </row>
    <row r="424" spans="1:13" s="228" customFormat="1" x14ac:dyDescent="0.15">
      <c r="A424" s="221"/>
      <c r="B424" s="222" t="s">
        <v>262</v>
      </c>
      <c r="C424" s="223" t="s">
        <v>846</v>
      </c>
      <c r="D424" s="222" t="s">
        <v>2896</v>
      </c>
      <c r="E424" s="224">
        <v>42</v>
      </c>
      <c r="F424" s="222" t="s">
        <v>2517</v>
      </c>
      <c r="G424" s="224">
        <v>1808.5</v>
      </c>
      <c r="H424" s="225">
        <v>48</v>
      </c>
      <c r="I424" s="224">
        <f t="shared" si="223"/>
        <v>37.677083333333336</v>
      </c>
      <c r="J424" s="224">
        <v>15621</v>
      </c>
      <c r="K424" s="226">
        <f t="shared" si="220"/>
        <v>3.1314720805239042E-4</v>
      </c>
      <c r="L424" s="224">
        <f t="shared" si="224"/>
        <v>43.05952380952381</v>
      </c>
      <c r="M424" s="261"/>
    </row>
    <row r="425" spans="1:13" s="228" customFormat="1" x14ac:dyDescent="0.15">
      <c r="A425" s="221"/>
      <c r="B425" s="222" t="s">
        <v>262</v>
      </c>
      <c r="C425" s="223" t="s">
        <v>1170</v>
      </c>
      <c r="D425" s="222" t="s">
        <v>2897</v>
      </c>
      <c r="E425" s="224">
        <v>40</v>
      </c>
      <c r="F425" s="222" t="s">
        <v>2517</v>
      </c>
      <c r="G425" s="224">
        <v>810</v>
      </c>
      <c r="H425" s="225">
        <v>13</v>
      </c>
      <c r="I425" s="224">
        <f t="shared" ref="I425" si="234">IF(OR(H425=0,G425=0),0,G425/H425)</f>
        <v>62.307692307692307</v>
      </c>
      <c r="J425" s="224">
        <v>6185</v>
      </c>
      <c r="K425" s="226">
        <f t="shared" si="220"/>
        <v>1.4025393338260229E-4</v>
      </c>
      <c r="L425" s="224">
        <f t="shared" ref="L425" si="235">G425/E425</f>
        <v>20.25</v>
      </c>
      <c r="M425" s="261"/>
    </row>
    <row r="426" spans="1:13" s="228" customFormat="1" x14ac:dyDescent="0.15">
      <c r="A426" s="221"/>
      <c r="B426" s="222" t="s">
        <v>262</v>
      </c>
      <c r="C426" s="223" t="s">
        <v>1601</v>
      </c>
      <c r="D426" s="222" t="s">
        <v>2898</v>
      </c>
      <c r="E426" s="224">
        <v>30.23</v>
      </c>
      <c r="F426" s="222" t="s">
        <v>2540</v>
      </c>
      <c r="G426" s="224">
        <v>228</v>
      </c>
      <c r="H426" s="225">
        <v>1</v>
      </c>
      <c r="I426" s="224">
        <f t="shared" ref="I426" si="236">IF(OR(H426=0,G426=0),0,G426/H426)</f>
        <v>228</v>
      </c>
      <c r="J426" s="224">
        <v>5485</v>
      </c>
      <c r="K426" s="226">
        <f t="shared" si="220"/>
        <v>3.9478884952139906E-5</v>
      </c>
      <c r="L426" s="224">
        <f t="shared" ref="L426" si="237">G426/E426</f>
        <v>7.5421766457161761</v>
      </c>
      <c r="M426" s="261"/>
    </row>
    <row r="427" spans="1:13" s="228" customFormat="1" x14ac:dyDescent="0.15">
      <c r="A427" s="221"/>
      <c r="B427" s="222" t="s">
        <v>262</v>
      </c>
      <c r="C427" s="223" t="s">
        <v>1163</v>
      </c>
      <c r="D427" s="222" t="s">
        <v>2899</v>
      </c>
      <c r="E427" s="224">
        <v>6</v>
      </c>
      <c r="F427" s="222" t="s">
        <v>2687</v>
      </c>
      <c r="G427" s="224"/>
      <c r="H427" s="225"/>
      <c r="I427" s="224">
        <f t="shared" si="223"/>
        <v>0</v>
      </c>
      <c r="J427" s="224"/>
      <c r="K427" s="226">
        <f t="shared" si="220"/>
        <v>0</v>
      </c>
      <c r="L427" s="224">
        <f t="shared" si="224"/>
        <v>0</v>
      </c>
      <c r="M427" s="261"/>
    </row>
    <row r="428" spans="1:13" s="228" customFormat="1" x14ac:dyDescent="0.15">
      <c r="A428" s="221"/>
      <c r="B428" s="222" t="s">
        <v>474</v>
      </c>
      <c r="C428" s="223" t="s">
        <v>485</v>
      </c>
      <c r="D428" s="223" t="s">
        <v>2900</v>
      </c>
      <c r="E428" s="224">
        <v>1303.8599999999999</v>
      </c>
      <c r="F428" s="222" t="s">
        <v>2513</v>
      </c>
      <c r="G428" s="224">
        <v>23627</v>
      </c>
      <c r="H428" s="225">
        <v>381</v>
      </c>
      <c r="I428" s="224">
        <f t="shared" si="223"/>
        <v>62.01312335958005</v>
      </c>
      <c r="J428" s="224">
        <v>284986</v>
      </c>
      <c r="K428" s="226">
        <f t="shared" si="220"/>
        <v>4.091086029667586E-3</v>
      </c>
      <c r="L428" s="224">
        <f t="shared" si="224"/>
        <v>18.120810516466491</v>
      </c>
      <c r="M428" s="258"/>
    </row>
    <row r="429" spans="1:13" s="228" customFormat="1" x14ac:dyDescent="0.15">
      <c r="A429" s="221"/>
      <c r="B429" s="222" t="s">
        <v>262</v>
      </c>
      <c r="C429" s="223" t="s">
        <v>1734</v>
      </c>
      <c r="D429" s="223" t="s">
        <v>2901</v>
      </c>
      <c r="E429" s="224">
        <v>6</v>
      </c>
      <c r="F429" s="222" t="s">
        <v>2548</v>
      </c>
      <c r="G429" s="224">
        <v>750</v>
      </c>
      <c r="H429" s="225">
        <v>32</v>
      </c>
      <c r="I429" s="224">
        <f t="shared" ref="I429:I430" si="238">IF(OR(H429=0,G429=0),0,G429/H429)</f>
        <v>23.4375</v>
      </c>
      <c r="J429" s="224">
        <v>8129</v>
      </c>
      <c r="K429" s="226">
        <f t="shared" si="220"/>
        <v>1.2986475313203917E-4</v>
      </c>
      <c r="L429" s="224">
        <f t="shared" ref="L429:L430" si="239">G429/E429</f>
        <v>125</v>
      </c>
      <c r="M429" s="258"/>
    </row>
    <row r="430" spans="1:13" s="228" customFormat="1" x14ac:dyDescent="0.15">
      <c r="A430" s="221"/>
      <c r="B430" s="222" t="s">
        <v>262</v>
      </c>
      <c r="C430" s="223" t="s">
        <v>1731</v>
      </c>
      <c r="D430" s="223" t="s">
        <v>2902</v>
      </c>
      <c r="E430" s="224">
        <v>6</v>
      </c>
      <c r="F430" s="222" t="s">
        <v>2517</v>
      </c>
      <c r="G430" s="224">
        <v>938</v>
      </c>
      <c r="H430" s="225">
        <v>6</v>
      </c>
      <c r="I430" s="224">
        <f t="shared" si="238"/>
        <v>156.33333333333334</v>
      </c>
      <c r="J430" s="224">
        <v>4288</v>
      </c>
      <c r="K430" s="226">
        <f t="shared" si="220"/>
        <v>1.6241751791713698E-4</v>
      </c>
      <c r="L430" s="224">
        <f t="shared" si="239"/>
        <v>156.33333333333334</v>
      </c>
      <c r="M430" s="258"/>
    </row>
    <row r="431" spans="1:13" s="228" customFormat="1" x14ac:dyDescent="0.15">
      <c r="A431" s="221"/>
      <c r="B431" s="222" t="s">
        <v>262</v>
      </c>
      <c r="C431" s="223" t="s">
        <v>172</v>
      </c>
      <c r="D431" s="223" t="s">
        <v>1967</v>
      </c>
      <c r="E431" s="224">
        <v>4886.24</v>
      </c>
      <c r="F431" s="222" t="s">
        <v>17</v>
      </c>
      <c r="G431" s="224">
        <v>153885</v>
      </c>
      <c r="H431" s="225">
        <v>2135</v>
      </c>
      <c r="I431" s="224">
        <f t="shared" si="223"/>
        <v>72.077283372365343</v>
      </c>
      <c r="J431" s="224">
        <v>1323810</v>
      </c>
      <c r="K431" s="226">
        <f t="shared" si="220"/>
        <v>2.6645650047631794E-2</v>
      </c>
      <c r="L431" s="224">
        <f t="shared" si="224"/>
        <v>31.493541045875766</v>
      </c>
      <c r="M431" s="258"/>
    </row>
    <row r="432" spans="1:13" s="228" customFormat="1" x14ac:dyDescent="0.15">
      <c r="A432" s="221"/>
      <c r="B432" s="222" t="s">
        <v>262</v>
      </c>
      <c r="C432" s="223" t="s">
        <v>1649</v>
      </c>
      <c r="D432" s="223" t="s">
        <v>2335</v>
      </c>
      <c r="E432" s="224">
        <v>3</v>
      </c>
      <c r="F432" s="222" t="s">
        <v>17</v>
      </c>
      <c r="G432" s="224">
        <v>1020</v>
      </c>
      <c r="H432" s="225">
        <v>24</v>
      </c>
      <c r="I432" s="224">
        <f t="shared" ref="I432" si="240">IF(OR(H432=0,G432=0),0,G432/H432)</f>
        <v>42.5</v>
      </c>
      <c r="J432" s="224">
        <v>6975</v>
      </c>
      <c r="K432" s="226">
        <f t="shared" si="220"/>
        <v>1.7661606425957327E-4</v>
      </c>
      <c r="L432" s="224">
        <f t="shared" ref="L432" si="241">G432/E432</f>
        <v>340</v>
      </c>
      <c r="M432" s="258"/>
    </row>
    <row r="433" spans="1:13" s="228" customFormat="1" x14ac:dyDescent="0.15">
      <c r="A433" s="221"/>
      <c r="B433" s="222" t="s">
        <v>474</v>
      </c>
      <c r="C433" s="223" t="s">
        <v>343</v>
      </c>
      <c r="D433" s="223" t="s">
        <v>2903</v>
      </c>
      <c r="E433" s="224">
        <v>1061.92</v>
      </c>
      <c r="F433" s="222" t="s">
        <v>2815</v>
      </c>
      <c r="G433" s="224">
        <v>53064</v>
      </c>
      <c r="H433" s="225">
        <v>344</v>
      </c>
      <c r="I433" s="224">
        <f t="shared" si="223"/>
        <v>154.25581395348837</v>
      </c>
      <c r="J433" s="224">
        <v>468956</v>
      </c>
      <c r="K433" s="226">
        <f t="shared" si="220"/>
        <v>9.1881910135980342E-3</v>
      </c>
      <c r="L433" s="224">
        <f t="shared" si="224"/>
        <v>49.969865903269543</v>
      </c>
      <c r="M433" s="258"/>
    </row>
    <row r="434" spans="1:13" s="286" customFormat="1" x14ac:dyDescent="0.15">
      <c r="A434" s="230" t="s">
        <v>412</v>
      </c>
      <c r="B434" s="231"/>
      <c r="C434" s="231"/>
      <c r="D434" s="232"/>
      <c r="E434" s="233">
        <f>SUM(E392:E433)</f>
        <v>10499.82</v>
      </c>
      <c r="F434" s="232"/>
      <c r="G434" s="233">
        <f>SUM(G392:G433)</f>
        <v>448799.57999999996</v>
      </c>
      <c r="H434" s="234">
        <f>SUM(H392:H433)</f>
        <v>7741</v>
      </c>
      <c r="I434" s="233">
        <f t="shared" si="223"/>
        <v>57.976951298281868</v>
      </c>
      <c r="J434" s="233">
        <f>SUM(J392:J433)</f>
        <v>4045262.97</v>
      </c>
      <c r="K434" s="235">
        <f t="shared" si="220"/>
        <v>7.7710995549950479E-2</v>
      </c>
      <c r="L434" s="233">
        <f t="shared" si="224"/>
        <v>42.743549889426674</v>
      </c>
      <c r="M434" s="262"/>
    </row>
    <row r="435" spans="1:13" s="228" customFormat="1" x14ac:dyDescent="0.15">
      <c r="A435" s="221"/>
      <c r="B435" s="222" t="s">
        <v>486</v>
      </c>
      <c r="C435" s="223" t="s">
        <v>487</v>
      </c>
      <c r="D435" s="223" t="s">
        <v>2904</v>
      </c>
      <c r="E435" s="224">
        <v>4996.6400000000003</v>
      </c>
      <c r="F435" s="222" t="s">
        <v>2815</v>
      </c>
      <c r="G435" s="224">
        <v>27882</v>
      </c>
      <c r="H435" s="225">
        <v>2</v>
      </c>
      <c r="I435" s="224">
        <f t="shared" si="223"/>
        <v>13941</v>
      </c>
      <c r="J435" s="224">
        <v>279445</v>
      </c>
      <c r="K435" s="226">
        <f t="shared" si="220"/>
        <v>4.8278520624366883E-3</v>
      </c>
      <c r="L435" s="224">
        <f t="shared" si="224"/>
        <v>5.5801498607063946</v>
      </c>
      <c r="M435" s="261"/>
    </row>
    <row r="436" spans="1:13" s="228" customFormat="1" x14ac:dyDescent="0.15">
      <c r="A436" s="221"/>
      <c r="B436" s="222" t="s">
        <v>486</v>
      </c>
      <c r="C436" s="223" t="s">
        <v>488</v>
      </c>
      <c r="D436" s="223" t="s">
        <v>2905</v>
      </c>
      <c r="E436" s="224">
        <v>2666</v>
      </c>
      <c r="F436" s="222" t="s">
        <v>2815</v>
      </c>
      <c r="G436" s="224">
        <v>28666</v>
      </c>
      <c r="H436" s="225">
        <v>91</v>
      </c>
      <c r="I436" s="224">
        <f t="shared" si="223"/>
        <v>315.01098901098902</v>
      </c>
      <c r="J436" s="224">
        <v>485909</v>
      </c>
      <c r="K436" s="226">
        <f t="shared" si="220"/>
        <v>4.963604017710713E-3</v>
      </c>
      <c r="L436" s="224">
        <f t="shared" si="224"/>
        <v>10.752438109527382</v>
      </c>
      <c r="M436" s="227"/>
    </row>
    <row r="437" spans="1:13" s="228" customFormat="1" x14ac:dyDescent="0.15">
      <c r="A437" s="221"/>
      <c r="B437" s="222" t="s">
        <v>263</v>
      </c>
      <c r="C437" s="223" t="s">
        <v>1632</v>
      </c>
      <c r="D437" s="223" t="s">
        <v>2906</v>
      </c>
      <c r="E437" s="224">
        <v>602.41</v>
      </c>
      <c r="F437" s="222" t="s">
        <v>2815</v>
      </c>
      <c r="G437" s="224">
        <v>29115</v>
      </c>
      <c r="H437" s="225">
        <v>165</v>
      </c>
      <c r="I437" s="224">
        <f t="shared" ref="I437" si="242">IF(OR(H437=0,G437=0),0,G437/H437)</f>
        <v>176.45454545454547</v>
      </c>
      <c r="J437" s="224">
        <v>309035</v>
      </c>
      <c r="K437" s="226">
        <f t="shared" si="220"/>
        <v>5.04134971658576E-3</v>
      </c>
      <c r="L437" s="224">
        <f t="shared" ref="L437" si="243">G437/E437</f>
        <v>48.330871001477405</v>
      </c>
      <c r="M437" s="227"/>
    </row>
    <row r="438" spans="1:13" s="228" customFormat="1" x14ac:dyDescent="0.15">
      <c r="A438" s="221"/>
      <c r="B438" s="222" t="s">
        <v>263</v>
      </c>
      <c r="C438" s="223" t="s">
        <v>1144</v>
      </c>
      <c r="D438" s="223" t="s">
        <v>2907</v>
      </c>
      <c r="E438" s="224">
        <v>200</v>
      </c>
      <c r="F438" s="222" t="s">
        <v>2815</v>
      </c>
      <c r="G438" s="224">
        <v>5849</v>
      </c>
      <c r="H438" s="225">
        <v>27</v>
      </c>
      <c r="I438" s="224">
        <f t="shared" ref="I438" si="244">IF(OR(H438=0,G438=0),0,G438/H438)</f>
        <v>216.62962962962962</v>
      </c>
      <c r="J438" s="224">
        <v>78625</v>
      </c>
      <c r="K438" s="226">
        <f t="shared" si="220"/>
        <v>1.0127719214257295E-3</v>
      </c>
      <c r="L438" s="224">
        <f t="shared" ref="L438" si="245">G438/E438</f>
        <v>29.245000000000001</v>
      </c>
      <c r="M438" s="227"/>
    </row>
    <row r="439" spans="1:13" s="228" customFormat="1" x14ac:dyDescent="0.15">
      <c r="A439" s="221"/>
      <c r="B439" s="222" t="s">
        <v>486</v>
      </c>
      <c r="C439" s="223" t="s">
        <v>489</v>
      </c>
      <c r="D439" s="223" t="s">
        <v>1968</v>
      </c>
      <c r="E439" s="224">
        <v>257.77999999999997</v>
      </c>
      <c r="F439" s="222" t="s">
        <v>1940</v>
      </c>
      <c r="G439" s="224">
        <v>60</v>
      </c>
      <c r="H439" s="225">
        <v>3</v>
      </c>
      <c r="I439" s="224">
        <f t="shared" si="223"/>
        <v>20</v>
      </c>
      <c r="J439" s="224">
        <v>77919</v>
      </c>
      <c r="K439" s="226">
        <f t="shared" si="220"/>
        <v>1.0389180250563133E-5</v>
      </c>
      <c r="L439" s="224">
        <f t="shared" si="224"/>
        <v>0.23275661416711926</v>
      </c>
      <c r="M439" s="261"/>
    </row>
    <row r="440" spans="1:13" s="228" customFormat="1" x14ac:dyDescent="0.15">
      <c r="A440" s="221"/>
      <c r="B440" s="222" t="s">
        <v>486</v>
      </c>
      <c r="C440" s="223" t="s">
        <v>490</v>
      </c>
      <c r="D440" s="223" t="s">
        <v>1969</v>
      </c>
      <c r="E440" s="224">
        <v>197.41</v>
      </c>
      <c r="F440" s="222" t="s">
        <v>1940</v>
      </c>
      <c r="G440" s="224">
        <v>2350</v>
      </c>
      <c r="H440" s="225">
        <v>2</v>
      </c>
      <c r="I440" s="224">
        <f t="shared" si="223"/>
        <v>1175</v>
      </c>
      <c r="J440" s="224">
        <v>26978</v>
      </c>
      <c r="K440" s="226">
        <f t="shared" si="220"/>
        <v>4.0690955981372273E-4</v>
      </c>
      <c r="L440" s="224">
        <f t="shared" si="224"/>
        <v>11.90415885720075</v>
      </c>
      <c r="M440" s="227"/>
    </row>
    <row r="441" spans="1:13" s="286" customFormat="1" x14ac:dyDescent="0.15">
      <c r="A441" s="230" t="s">
        <v>412</v>
      </c>
      <c r="B441" s="231"/>
      <c r="C441" s="231"/>
      <c r="D441" s="232"/>
      <c r="E441" s="233">
        <f>SUM(E435:E440)</f>
        <v>8920.2400000000016</v>
      </c>
      <c r="F441" s="232"/>
      <c r="G441" s="233">
        <f>SUM(G435:G440)</f>
        <v>93922</v>
      </c>
      <c r="H441" s="234">
        <f>SUM(H435:H440)</f>
        <v>290</v>
      </c>
      <c r="I441" s="233">
        <f t="shared" si="223"/>
        <v>323.86896551724141</v>
      </c>
      <c r="J441" s="233">
        <f>SUM(J435:J440)</f>
        <v>1257911</v>
      </c>
      <c r="K441" s="235">
        <f t="shared" si="220"/>
        <v>1.6262876458223177E-2</v>
      </c>
      <c r="L441" s="233">
        <f t="shared" si="224"/>
        <v>10.529088903437573</v>
      </c>
      <c r="M441" s="262"/>
    </row>
    <row r="442" spans="1:13" s="228" customFormat="1" x14ac:dyDescent="0.15">
      <c r="A442" s="221"/>
      <c r="B442" s="222" t="s">
        <v>11</v>
      </c>
      <c r="C442" s="223" t="s">
        <v>1086</v>
      </c>
      <c r="D442" s="223" t="s">
        <v>2908</v>
      </c>
      <c r="E442" s="224">
        <v>90.58</v>
      </c>
      <c r="F442" s="222" t="s">
        <v>2521</v>
      </c>
      <c r="G442" s="224">
        <v>11917.1</v>
      </c>
      <c r="H442" s="225">
        <v>65</v>
      </c>
      <c r="I442" s="224">
        <f t="shared" si="223"/>
        <v>183.34</v>
      </c>
      <c r="J442" s="224">
        <v>90861</v>
      </c>
      <c r="K442" s="226">
        <f t="shared" si="220"/>
        <v>2.0634816660664319E-3</v>
      </c>
      <c r="L442" s="224">
        <f t="shared" si="224"/>
        <v>131.56436299403842</v>
      </c>
      <c r="M442" s="261"/>
    </row>
    <row r="443" spans="1:13" s="228" customFormat="1" x14ac:dyDescent="0.15">
      <c r="A443" s="221"/>
      <c r="B443" s="222" t="s">
        <v>11</v>
      </c>
      <c r="C443" s="223" t="s">
        <v>755</v>
      </c>
      <c r="D443" s="223" t="s">
        <v>2909</v>
      </c>
      <c r="E443" s="224">
        <v>35.65</v>
      </c>
      <c r="F443" s="222" t="s">
        <v>2532</v>
      </c>
      <c r="G443" s="224">
        <v>5055</v>
      </c>
      <c r="H443" s="225">
        <v>11</v>
      </c>
      <c r="I443" s="224">
        <f t="shared" si="223"/>
        <v>459.54545454545456</v>
      </c>
      <c r="J443" s="224">
        <v>39173</v>
      </c>
      <c r="K443" s="226">
        <f t="shared" si="220"/>
        <v>8.7528843610994395E-4</v>
      </c>
      <c r="L443" s="224">
        <f t="shared" si="224"/>
        <v>141.7952314165498</v>
      </c>
      <c r="M443" s="261"/>
    </row>
    <row r="444" spans="1:13" s="228" customFormat="1" x14ac:dyDescent="0.15">
      <c r="A444" s="221"/>
      <c r="B444" s="222" t="s">
        <v>11</v>
      </c>
      <c r="C444" s="223" t="s">
        <v>1043</v>
      </c>
      <c r="D444" s="223" t="s">
        <v>2757</v>
      </c>
      <c r="E444" s="224">
        <v>31.21</v>
      </c>
      <c r="F444" s="222" t="s">
        <v>2540</v>
      </c>
      <c r="G444" s="224">
        <v>14066</v>
      </c>
      <c r="H444" s="225">
        <v>15</v>
      </c>
      <c r="I444" s="224">
        <f t="shared" si="223"/>
        <v>937.73333333333335</v>
      </c>
      <c r="J444" s="224">
        <v>75247</v>
      </c>
      <c r="K444" s="226">
        <f t="shared" si="220"/>
        <v>2.4355701567403505E-3</v>
      </c>
      <c r="L444" s="224">
        <f t="shared" si="224"/>
        <v>450.68888176866386</v>
      </c>
      <c r="M444" s="261"/>
    </row>
    <row r="445" spans="1:13" s="240" customFormat="1" x14ac:dyDescent="0.15">
      <c r="A445" s="221"/>
      <c r="B445" s="222" t="s">
        <v>11</v>
      </c>
      <c r="C445" s="223" t="s">
        <v>553</v>
      </c>
      <c r="D445" s="223" t="s">
        <v>2910</v>
      </c>
      <c r="E445" s="224">
        <v>51.68</v>
      </c>
      <c r="F445" s="222" t="s">
        <v>2687</v>
      </c>
      <c r="G445" s="224">
        <v>6168.1</v>
      </c>
      <c r="H445" s="225">
        <v>65</v>
      </c>
      <c r="I445" s="224">
        <f t="shared" si="223"/>
        <v>94.893846153846155</v>
      </c>
      <c r="J445" s="224">
        <v>38618.899999999994</v>
      </c>
      <c r="K445" s="226">
        <f t="shared" si="220"/>
        <v>1.0680250450583078E-3</v>
      </c>
      <c r="L445" s="224">
        <f t="shared" si="224"/>
        <v>119.35178018575853</v>
      </c>
      <c r="M445" s="261"/>
    </row>
    <row r="446" spans="1:13" s="240" customFormat="1" x14ac:dyDescent="0.15">
      <c r="A446" s="221"/>
      <c r="B446" s="222" t="s">
        <v>11</v>
      </c>
      <c r="C446" s="223" t="s">
        <v>911</v>
      </c>
      <c r="D446" s="223" t="s">
        <v>2362</v>
      </c>
      <c r="E446" s="224">
        <v>46.85</v>
      </c>
      <c r="F446" s="222" t="s">
        <v>2318</v>
      </c>
      <c r="G446" s="224">
        <v>12521</v>
      </c>
      <c r="H446" s="225">
        <v>26</v>
      </c>
      <c r="I446" s="224">
        <f t="shared" si="223"/>
        <v>481.57692307692309</v>
      </c>
      <c r="J446" s="224">
        <v>105808</v>
      </c>
      <c r="K446" s="226">
        <f t="shared" si="220"/>
        <v>2.1680487652883497E-3</v>
      </c>
      <c r="L446" s="224">
        <f t="shared" si="224"/>
        <v>267.25720384204908</v>
      </c>
      <c r="M446" s="261"/>
    </row>
    <row r="447" spans="1:13" s="240" customFormat="1" x14ac:dyDescent="0.15">
      <c r="A447" s="221"/>
      <c r="B447" s="222" t="s">
        <v>11</v>
      </c>
      <c r="C447" s="223" t="s">
        <v>249</v>
      </c>
      <c r="D447" s="223" t="s">
        <v>1970</v>
      </c>
      <c r="E447" s="224">
        <v>42.06</v>
      </c>
      <c r="F447" s="222" t="s">
        <v>2319</v>
      </c>
      <c r="G447" s="224">
        <v>3940</v>
      </c>
      <c r="H447" s="225">
        <v>3</v>
      </c>
      <c r="I447" s="224">
        <f t="shared" si="223"/>
        <v>1313.3333333333333</v>
      </c>
      <c r="J447" s="224">
        <v>48315</v>
      </c>
      <c r="K447" s="226">
        <f t="shared" si="220"/>
        <v>6.8222283645364573E-4</v>
      </c>
      <c r="L447" s="224">
        <f t="shared" si="224"/>
        <v>93.675701378982396</v>
      </c>
      <c r="M447" s="261"/>
    </row>
    <row r="448" spans="1:13" s="240" customFormat="1" x14ac:dyDescent="0.15">
      <c r="A448" s="221"/>
      <c r="B448" s="222" t="s">
        <v>11</v>
      </c>
      <c r="C448" s="223" t="s">
        <v>1116</v>
      </c>
      <c r="D448" s="223" t="s">
        <v>2911</v>
      </c>
      <c r="E448" s="224">
        <v>19</v>
      </c>
      <c r="F448" s="222" t="s">
        <v>2515</v>
      </c>
      <c r="G448" s="224">
        <v>4524.8999999999996</v>
      </c>
      <c r="H448" s="225">
        <v>9</v>
      </c>
      <c r="I448" s="224">
        <f t="shared" ref="I448" si="246">IF(OR(H448=0,G448=0),0,G448/H448)</f>
        <v>502.76666666666665</v>
      </c>
      <c r="J448" s="224">
        <v>20932.900000000001</v>
      </c>
      <c r="K448" s="226">
        <f t="shared" si="220"/>
        <v>7.8350002859621862E-4</v>
      </c>
      <c r="L448" s="224">
        <f t="shared" ref="L448" si="247">G448/E448</f>
        <v>238.15263157894734</v>
      </c>
      <c r="M448" s="261"/>
    </row>
    <row r="449" spans="1:13" s="240" customFormat="1" x14ac:dyDescent="0.15">
      <c r="A449" s="221"/>
      <c r="B449" s="222" t="s">
        <v>11</v>
      </c>
      <c r="C449" s="223" t="s">
        <v>492</v>
      </c>
      <c r="D449" s="223" t="s">
        <v>2363</v>
      </c>
      <c r="E449" s="224">
        <v>176.7</v>
      </c>
      <c r="F449" s="222" t="s">
        <v>2319</v>
      </c>
      <c r="G449" s="224">
        <v>10531</v>
      </c>
      <c r="H449" s="225">
        <v>28</v>
      </c>
      <c r="I449" s="224">
        <f t="shared" si="223"/>
        <v>376.10714285714283</v>
      </c>
      <c r="J449" s="224">
        <v>87934</v>
      </c>
      <c r="K449" s="226">
        <f t="shared" si="220"/>
        <v>1.8234742869780059E-3</v>
      </c>
      <c r="L449" s="224">
        <f t="shared" si="224"/>
        <v>59.598189020939451</v>
      </c>
      <c r="M449" s="261"/>
    </row>
    <row r="450" spans="1:13" s="240" customFormat="1" x14ac:dyDescent="0.15">
      <c r="A450" s="221"/>
      <c r="B450" s="222" t="s">
        <v>11</v>
      </c>
      <c r="C450" s="223" t="s">
        <v>493</v>
      </c>
      <c r="D450" s="223" t="s">
        <v>1971</v>
      </c>
      <c r="E450" s="224">
        <v>120</v>
      </c>
      <c r="F450" s="222" t="s">
        <v>17</v>
      </c>
      <c r="G450" s="224">
        <v>14120</v>
      </c>
      <c r="H450" s="225">
        <v>7</v>
      </c>
      <c r="I450" s="224">
        <f t="shared" si="223"/>
        <v>2017.1428571428571</v>
      </c>
      <c r="J450" s="224">
        <v>92960</v>
      </c>
      <c r="K450" s="226">
        <f t="shared" si="220"/>
        <v>2.4449204189658574E-3</v>
      </c>
      <c r="L450" s="224">
        <f t="shared" si="224"/>
        <v>117.66666666666667</v>
      </c>
      <c r="M450" s="261"/>
    </row>
    <row r="451" spans="1:13" s="240" customFormat="1" x14ac:dyDescent="0.15">
      <c r="A451" s="221"/>
      <c r="B451" s="222" t="s">
        <v>11</v>
      </c>
      <c r="C451" s="223" t="s">
        <v>1622</v>
      </c>
      <c r="D451" s="223" t="s">
        <v>2912</v>
      </c>
      <c r="E451" s="224">
        <v>78.430000000000007</v>
      </c>
      <c r="F451" s="222" t="s">
        <v>2913</v>
      </c>
      <c r="G451" s="224">
        <v>5246</v>
      </c>
      <c r="H451" s="225">
        <v>66</v>
      </c>
      <c r="I451" s="224">
        <f t="shared" ref="I451" si="248">IF(OR(H451=0,G451=0),0,G451/H451)</f>
        <v>79.484848484848484</v>
      </c>
      <c r="J451" s="224">
        <v>83283</v>
      </c>
      <c r="K451" s="226">
        <f t="shared" si="220"/>
        <v>9.0836065990756998E-4</v>
      </c>
      <c r="L451" s="224">
        <f t="shared" ref="L451" si="249">G451/E451</f>
        <v>66.887670534234346</v>
      </c>
      <c r="M451" s="261"/>
    </row>
    <row r="452" spans="1:13" s="240" customFormat="1" x14ac:dyDescent="0.15">
      <c r="A452" s="221"/>
      <c r="B452" s="222" t="s">
        <v>491</v>
      </c>
      <c r="C452" s="223" t="s">
        <v>494</v>
      </c>
      <c r="D452" s="223" t="s">
        <v>2892</v>
      </c>
      <c r="E452" s="224">
        <v>88.82</v>
      </c>
      <c r="F452" s="222" t="s">
        <v>2548</v>
      </c>
      <c r="G452" s="224">
        <v>6927.2</v>
      </c>
      <c r="H452" s="225">
        <v>238</v>
      </c>
      <c r="I452" s="224">
        <f t="shared" si="223"/>
        <v>29.105882352941176</v>
      </c>
      <c r="J452" s="224">
        <v>54164.799999999996</v>
      </c>
      <c r="K452" s="226">
        <f t="shared" si="220"/>
        <v>1.1994654905283489E-3</v>
      </c>
      <c r="L452" s="224">
        <f t="shared" si="224"/>
        <v>77.991443368610675</v>
      </c>
      <c r="M452" s="261"/>
    </row>
    <row r="453" spans="1:13" s="243" customFormat="1" x14ac:dyDescent="0.15">
      <c r="A453" s="221"/>
      <c r="B453" s="242" t="s">
        <v>11</v>
      </c>
      <c r="C453" s="223" t="s">
        <v>1729</v>
      </c>
      <c r="D453" s="223" t="s">
        <v>2914</v>
      </c>
      <c r="E453" s="224">
        <v>165.15</v>
      </c>
      <c r="F453" s="222" t="s">
        <v>2515</v>
      </c>
      <c r="G453" s="224">
        <v>8553</v>
      </c>
      <c r="H453" s="225">
        <v>46</v>
      </c>
      <c r="I453" s="224">
        <f t="shared" ref="I453" si="250">IF(OR(H453=0,G453=0),0,G453/H453)</f>
        <v>185.93478260869566</v>
      </c>
      <c r="J453" s="224">
        <v>76995</v>
      </c>
      <c r="K453" s="226">
        <f t="shared" si="220"/>
        <v>1.4809776447177747E-3</v>
      </c>
      <c r="L453" s="224">
        <f t="shared" ref="L453" si="251">G453/E453</f>
        <v>51.789282470481382</v>
      </c>
      <c r="M453" s="261"/>
    </row>
    <row r="454" spans="1:13" s="240" customFormat="1" x14ac:dyDescent="0.15">
      <c r="A454" s="221"/>
      <c r="B454" s="222" t="s">
        <v>11</v>
      </c>
      <c r="C454" s="223" t="s">
        <v>743</v>
      </c>
      <c r="D454" s="223" t="s">
        <v>2915</v>
      </c>
      <c r="E454" s="224">
        <v>76.64</v>
      </c>
      <c r="F454" s="222" t="s">
        <v>2519</v>
      </c>
      <c r="G454" s="224">
        <v>37190</v>
      </c>
      <c r="H454" s="225">
        <v>55</v>
      </c>
      <c r="I454" s="224">
        <f t="shared" si="223"/>
        <v>676.18181818181813</v>
      </c>
      <c r="J454" s="224">
        <v>250999</v>
      </c>
      <c r="K454" s="226">
        <f t="shared" si="220"/>
        <v>6.4395602253073817E-3</v>
      </c>
      <c r="L454" s="224">
        <f t="shared" si="224"/>
        <v>485.25574112734864</v>
      </c>
      <c r="M454" s="261"/>
    </row>
    <row r="455" spans="1:13" s="240" customFormat="1" x14ac:dyDescent="0.15">
      <c r="A455" s="221"/>
      <c r="B455" s="222" t="s">
        <v>11</v>
      </c>
      <c r="C455" s="223" t="s">
        <v>738</v>
      </c>
      <c r="D455" s="223" t="s">
        <v>2364</v>
      </c>
      <c r="E455" s="224">
        <v>20.34</v>
      </c>
      <c r="F455" s="222" t="s">
        <v>2318</v>
      </c>
      <c r="G455" s="224"/>
      <c r="H455" s="225"/>
      <c r="I455" s="224">
        <f t="shared" si="223"/>
        <v>0</v>
      </c>
      <c r="J455" s="224"/>
      <c r="K455" s="226">
        <f t="shared" si="220"/>
        <v>0</v>
      </c>
      <c r="L455" s="224">
        <f t="shared" si="224"/>
        <v>0</v>
      </c>
      <c r="M455" s="258"/>
    </row>
    <row r="456" spans="1:13" s="240" customFormat="1" x14ac:dyDescent="0.15">
      <c r="A456" s="221"/>
      <c r="B456" s="222" t="s">
        <v>11</v>
      </c>
      <c r="C456" s="223" t="s">
        <v>1813</v>
      </c>
      <c r="D456" s="223" t="s">
        <v>2566</v>
      </c>
      <c r="E456" s="224">
        <v>20.34</v>
      </c>
      <c r="F456" s="222" t="s">
        <v>2519</v>
      </c>
      <c r="G456" s="224">
        <v>1963</v>
      </c>
      <c r="H456" s="225">
        <v>2</v>
      </c>
      <c r="I456" s="224">
        <f t="shared" ref="I456" si="252">IF(OR(H456=0,G456=0),0,G456/H456)</f>
        <v>981.5</v>
      </c>
      <c r="J456" s="224">
        <v>6314</v>
      </c>
      <c r="K456" s="226">
        <f t="shared" ref="K456" si="253">G456/$G$527</f>
        <v>3.3989934719759051E-4</v>
      </c>
      <c r="L456" s="224">
        <f t="shared" ref="L456" si="254">G456/E456</f>
        <v>96.509341199606681</v>
      </c>
      <c r="M456" s="258"/>
    </row>
    <row r="457" spans="1:13" s="240" customFormat="1" x14ac:dyDescent="0.15">
      <c r="A457" s="221"/>
      <c r="B457" s="222" t="s">
        <v>11</v>
      </c>
      <c r="C457" s="223" t="s">
        <v>763</v>
      </c>
      <c r="D457" s="223" t="s">
        <v>2916</v>
      </c>
      <c r="E457" s="224">
        <v>18</v>
      </c>
      <c r="F457" s="222" t="s">
        <v>2687</v>
      </c>
      <c r="G457" s="224"/>
      <c r="H457" s="225"/>
      <c r="I457" s="224">
        <f t="shared" si="223"/>
        <v>0</v>
      </c>
      <c r="J457" s="224"/>
      <c r="K457" s="226">
        <f t="shared" si="220"/>
        <v>0</v>
      </c>
      <c r="L457" s="224">
        <f t="shared" si="224"/>
        <v>0</v>
      </c>
      <c r="M457" s="261"/>
    </row>
    <row r="458" spans="1:13" s="240" customFormat="1" x14ac:dyDescent="0.15">
      <c r="A458" s="221"/>
      <c r="B458" s="222" t="s">
        <v>11</v>
      </c>
      <c r="C458" s="223" t="s">
        <v>1820</v>
      </c>
      <c r="D458" s="223" t="s">
        <v>2917</v>
      </c>
      <c r="E458" s="224">
        <v>18</v>
      </c>
      <c r="F458" s="222" t="s">
        <v>2519</v>
      </c>
      <c r="G458" s="224">
        <v>5080</v>
      </c>
      <c r="H458" s="225">
        <v>2</v>
      </c>
      <c r="I458" s="224">
        <f t="shared" ref="I458" si="255">IF(OR(H458=0,G458=0),0,G458/H458)</f>
        <v>2540</v>
      </c>
      <c r="J458" s="224">
        <v>21770</v>
      </c>
      <c r="K458" s="226">
        <f t="shared" ref="K458" si="256">G458/$G$527</f>
        <v>8.7961726121434526E-4</v>
      </c>
      <c r="L458" s="224">
        <f t="shared" ref="L458" si="257">G458/E458</f>
        <v>282.22222222222223</v>
      </c>
      <c r="M458" s="261"/>
    </row>
    <row r="459" spans="1:13" s="240" customFormat="1" x14ac:dyDescent="0.15">
      <c r="A459" s="221"/>
      <c r="B459" s="222" t="s">
        <v>11</v>
      </c>
      <c r="C459" s="223" t="s">
        <v>1808</v>
      </c>
      <c r="D459" s="223" t="s">
        <v>2565</v>
      </c>
      <c r="E459" s="224">
        <v>21.31</v>
      </c>
      <c r="F459" s="222" t="s">
        <v>2519</v>
      </c>
      <c r="G459" s="224">
        <v>550</v>
      </c>
      <c r="H459" s="225">
        <v>1</v>
      </c>
      <c r="I459" s="224">
        <f t="shared" ref="I459" si="258">IF(OR(H459=0,G459=0),0,G459/H459)</f>
        <v>550</v>
      </c>
      <c r="J459" s="224">
        <v>8240</v>
      </c>
      <c r="K459" s="226">
        <f t="shared" ref="K459" si="259">G459/$G$527</f>
        <v>9.5234152296828716E-5</v>
      </c>
      <c r="L459" s="224">
        <f t="shared" ref="L459" si="260">G459/E459</f>
        <v>25.809479117785077</v>
      </c>
      <c r="M459" s="261"/>
    </row>
    <row r="460" spans="1:13" s="240" customFormat="1" x14ac:dyDescent="0.15">
      <c r="A460" s="221"/>
      <c r="B460" s="222" t="s">
        <v>11</v>
      </c>
      <c r="C460" s="223" t="s">
        <v>1721</v>
      </c>
      <c r="D460" s="223" t="s">
        <v>2365</v>
      </c>
      <c r="E460" s="224">
        <v>80</v>
      </c>
      <c r="F460" s="222" t="s">
        <v>2318</v>
      </c>
      <c r="G460" s="224">
        <v>6069.8</v>
      </c>
      <c r="H460" s="225">
        <v>19</v>
      </c>
      <c r="I460" s="224">
        <f t="shared" ref="I460" si="261">IF(OR(H460=0,G460=0),0,G460/H460)</f>
        <v>319.46315789473687</v>
      </c>
      <c r="J460" s="224">
        <v>67179</v>
      </c>
      <c r="K460" s="226">
        <f t="shared" ref="K460:K476" si="262">G460/$G$527</f>
        <v>1.0510041047478017E-3</v>
      </c>
      <c r="L460" s="224">
        <f t="shared" ref="L460" si="263">G460/E460</f>
        <v>75.872500000000002</v>
      </c>
      <c r="M460" s="261"/>
    </row>
    <row r="461" spans="1:13" s="240" customFormat="1" x14ac:dyDescent="0.15">
      <c r="A461" s="221"/>
      <c r="B461" s="222" t="s">
        <v>11</v>
      </c>
      <c r="C461" s="223" t="s">
        <v>250</v>
      </c>
      <c r="D461" s="223" t="s">
        <v>2918</v>
      </c>
      <c r="E461" s="224">
        <v>19.7</v>
      </c>
      <c r="F461" s="222" t="s">
        <v>2532</v>
      </c>
      <c r="G461" s="224"/>
      <c r="H461" s="225"/>
      <c r="I461" s="224">
        <f t="shared" si="223"/>
        <v>0</v>
      </c>
      <c r="J461" s="224"/>
      <c r="K461" s="226">
        <f t="shared" si="262"/>
        <v>0</v>
      </c>
      <c r="L461" s="224">
        <f t="shared" si="224"/>
        <v>0</v>
      </c>
      <c r="M461" s="261"/>
    </row>
    <row r="462" spans="1:13" s="240" customFormat="1" x14ac:dyDescent="0.15">
      <c r="A462" s="221"/>
      <c r="B462" s="222" t="s">
        <v>11</v>
      </c>
      <c r="C462" s="223" t="s">
        <v>736</v>
      </c>
      <c r="D462" s="222" t="s">
        <v>2919</v>
      </c>
      <c r="E462" s="224">
        <v>20</v>
      </c>
      <c r="F462" s="222" t="s">
        <v>2515</v>
      </c>
      <c r="G462" s="224">
        <v>2344.8000000000002</v>
      </c>
      <c r="H462" s="225">
        <v>9</v>
      </c>
      <c r="I462" s="224">
        <f t="shared" si="223"/>
        <v>260.53333333333336</v>
      </c>
      <c r="J462" s="224">
        <v>31498</v>
      </c>
      <c r="K462" s="226">
        <f t="shared" si="262"/>
        <v>4.060091641920073E-4</v>
      </c>
      <c r="L462" s="224">
        <f t="shared" si="224"/>
        <v>117.24000000000001</v>
      </c>
      <c r="M462" s="261"/>
    </row>
    <row r="463" spans="1:13" s="240" customFormat="1" x14ac:dyDescent="0.15">
      <c r="A463" s="221"/>
      <c r="B463" s="222" t="s">
        <v>11</v>
      </c>
      <c r="C463" s="223" t="s">
        <v>312</v>
      </c>
      <c r="D463" s="223" t="s">
        <v>2920</v>
      </c>
      <c r="E463" s="224">
        <v>67</v>
      </c>
      <c r="F463" s="222" t="s">
        <v>2517</v>
      </c>
      <c r="G463" s="224">
        <v>14711.7</v>
      </c>
      <c r="H463" s="225">
        <v>458</v>
      </c>
      <c r="I463" s="224">
        <f t="shared" si="223"/>
        <v>32.121615720524019</v>
      </c>
      <c r="J463" s="224">
        <v>138639.66</v>
      </c>
      <c r="K463" s="226">
        <f t="shared" si="262"/>
        <v>2.5473750515368275E-3</v>
      </c>
      <c r="L463" s="224">
        <f t="shared" si="224"/>
        <v>219.57761194029851</v>
      </c>
      <c r="M463" s="261"/>
    </row>
    <row r="464" spans="1:13" x14ac:dyDescent="0.15">
      <c r="A464" s="221"/>
      <c r="B464" s="222" t="s">
        <v>11</v>
      </c>
      <c r="C464" s="223" t="s">
        <v>284</v>
      </c>
      <c r="D464" s="223" t="s">
        <v>2921</v>
      </c>
      <c r="E464" s="224">
        <v>32</v>
      </c>
      <c r="F464" s="222" t="s">
        <v>2517</v>
      </c>
      <c r="G464" s="224">
        <v>3470.7</v>
      </c>
      <c r="H464" s="225">
        <v>14</v>
      </c>
      <c r="I464" s="224">
        <f t="shared" si="223"/>
        <v>247.90714285714284</v>
      </c>
      <c r="J464" s="224">
        <v>27019.200000000001</v>
      </c>
      <c r="K464" s="226">
        <f t="shared" si="262"/>
        <v>6.009621315938244E-4</v>
      </c>
      <c r="L464" s="224">
        <f t="shared" si="224"/>
        <v>108.45937499999999</v>
      </c>
      <c r="M464" s="261"/>
    </row>
    <row r="465" spans="1:13" x14ac:dyDescent="0.15">
      <c r="A465" s="221"/>
      <c r="B465" s="222" t="s">
        <v>11</v>
      </c>
      <c r="C465" s="223" t="s">
        <v>1623</v>
      </c>
      <c r="D465" s="223" t="s">
        <v>2922</v>
      </c>
      <c r="E465" s="224">
        <v>14.95</v>
      </c>
      <c r="F465" s="222" t="s">
        <v>2517</v>
      </c>
      <c r="G465" s="224">
        <v>1375.5</v>
      </c>
      <c r="H465" s="225">
        <v>23</v>
      </c>
      <c r="I465" s="224">
        <f t="shared" si="223"/>
        <v>59.804347826086953</v>
      </c>
      <c r="J465" s="224">
        <v>12466.400000000001</v>
      </c>
      <c r="K465" s="226">
        <f t="shared" si="262"/>
        <v>2.3817195724415983E-4</v>
      </c>
      <c r="L465" s="224">
        <f t="shared" si="224"/>
        <v>92.006688963210706</v>
      </c>
      <c r="M465" s="261"/>
    </row>
    <row r="466" spans="1:13" x14ac:dyDescent="0.15">
      <c r="A466" s="221"/>
      <c r="B466" s="222" t="s">
        <v>11</v>
      </c>
      <c r="C466" s="223" t="s">
        <v>285</v>
      </c>
      <c r="D466" s="223" t="s">
        <v>2923</v>
      </c>
      <c r="E466" s="224">
        <v>24.5</v>
      </c>
      <c r="F466" s="222" t="s">
        <v>2548</v>
      </c>
      <c r="G466" s="224">
        <v>3907</v>
      </c>
      <c r="H466" s="225">
        <v>153</v>
      </c>
      <c r="I466" s="224">
        <f t="shared" si="223"/>
        <v>25.535947712418302</v>
      </c>
      <c r="J466" s="224">
        <v>32517</v>
      </c>
      <c r="K466" s="226">
        <f t="shared" si="262"/>
        <v>6.7650878731583604E-4</v>
      </c>
      <c r="L466" s="224">
        <f t="shared" si="224"/>
        <v>159.46938775510205</v>
      </c>
      <c r="M466" s="261"/>
    </row>
    <row r="467" spans="1:13" x14ac:dyDescent="0.15">
      <c r="A467" s="221"/>
      <c r="B467" s="222" t="s">
        <v>491</v>
      </c>
      <c r="C467" s="223" t="s">
        <v>495</v>
      </c>
      <c r="D467" s="223" t="s">
        <v>2924</v>
      </c>
      <c r="E467" s="224">
        <v>24.5</v>
      </c>
      <c r="F467" s="222" t="s">
        <v>2517</v>
      </c>
      <c r="G467" s="224">
        <v>2943.1</v>
      </c>
      <c r="H467" s="225">
        <v>168</v>
      </c>
      <c r="I467" s="224">
        <f t="shared" si="223"/>
        <v>17.518452380952379</v>
      </c>
      <c r="J467" s="224">
        <v>30105.499999999996</v>
      </c>
      <c r="K467" s="226">
        <f t="shared" si="262"/>
        <v>5.0960660659053931E-4</v>
      </c>
      <c r="L467" s="224">
        <f t="shared" si="224"/>
        <v>120.12653061224489</v>
      </c>
      <c r="M467" s="261"/>
    </row>
    <row r="468" spans="1:13" x14ac:dyDescent="0.15">
      <c r="A468" s="221"/>
      <c r="B468" s="222" t="s">
        <v>491</v>
      </c>
      <c r="C468" s="236" t="s">
        <v>1680</v>
      </c>
      <c r="D468" s="223" t="s">
        <v>2925</v>
      </c>
      <c r="E468" s="224">
        <v>141.97</v>
      </c>
      <c r="F468" s="222" t="s">
        <v>2687</v>
      </c>
      <c r="G468" s="224">
        <v>43080.5</v>
      </c>
      <c r="H468" s="225">
        <v>22</v>
      </c>
      <c r="I468" s="224">
        <f t="shared" ref="I468" si="264">IF(OR(H468=0,G468=0),0,G468/H468)</f>
        <v>1958.2045454545455</v>
      </c>
      <c r="J468" s="224">
        <v>141674.70000000001</v>
      </c>
      <c r="K468" s="226">
        <f t="shared" si="262"/>
        <v>7.459517996406418E-3</v>
      </c>
      <c r="L468" s="224">
        <f t="shared" ref="L468" si="265">G468/E468</f>
        <v>303.44791153060504</v>
      </c>
      <c r="M468" s="261"/>
    </row>
    <row r="469" spans="1:13" x14ac:dyDescent="0.15">
      <c r="A469" s="221"/>
      <c r="B469" s="242" t="s">
        <v>11</v>
      </c>
      <c r="C469" s="236" t="s">
        <v>578</v>
      </c>
      <c r="D469" s="223" t="s">
        <v>2926</v>
      </c>
      <c r="E469" s="224">
        <v>38</v>
      </c>
      <c r="F469" s="222" t="s">
        <v>2548</v>
      </c>
      <c r="G469" s="224">
        <v>5587.5</v>
      </c>
      <c r="H469" s="225">
        <v>58</v>
      </c>
      <c r="I469" s="224">
        <f t="shared" si="223"/>
        <v>96.33620689655173</v>
      </c>
      <c r="J469" s="224">
        <v>41418.53</v>
      </c>
      <c r="K469" s="226">
        <f t="shared" si="262"/>
        <v>9.6749241083369175E-4</v>
      </c>
      <c r="L469" s="224">
        <f t="shared" si="224"/>
        <v>147.03947368421052</v>
      </c>
      <c r="M469" s="261"/>
    </row>
    <row r="470" spans="1:13" x14ac:dyDescent="0.15">
      <c r="A470" s="221"/>
      <c r="B470" s="242" t="s">
        <v>11</v>
      </c>
      <c r="C470" s="236" t="s">
        <v>865</v>
      </c>
      <c r="D470" s="223" t="s">
        <v>2927</v>
      </c>
      <c r="E470" s="224">
        <v>40</v>
      </c>
      <c r="F470" s="222" t="s">
        <v>2517</v>
      </c>
      <c r="G470" s="224">
        <v>13798</v>
      </c>
      <c r="H470" s="225">
        <v>519</v>
      </c>
      <c r="I470" s="224">
        <f t="shared" si="223"/>
        <v>26.585741811175335</v>
      </c>
      <c r="J470" s="224">
        <v>105274</v>
      </c>
      <c r="K470" s="226">
        <f t="shared" si="262"/>
        <v>2.3891651516211687E-3</v>
      </c>
      <c r="L470" s="224">
        <f t="shared" si="224"/>
        <v>344.95</v>
      </c>
      <c r="M470" s="261"/>
    </row>
    <row r="471" spans="1:13" x14ac:dyDescent="0.15">
      <c r="A471" s="221"/>
      <c r="B471" s="242" t="s">
        <v>11</v>
      </c>
      <c r="C471" s="236" t="s">
        <v>1605</v>
      </c>
      <c r="D471" s="223" t="s">
        <v>2928</v>
      </c>
      <c r="E471" s="224">
        <v>17.079999999999998</v>
      </c>
      <c r="F471" s="222" t="s">
        <v>2540</v>
      </c>
      <c r="G471" s="224">
        <v>6199</v>
      </c>
      <c r="H471" s="225">
        <v>3</v>
      </c>
      <c r="I471" s="224">
        <f t="shared" ref="I471" si="266">IF(OR(H471=0,G471=0),0,G471/H471)</f>
        <v>2066.3333333333335</v>
      </c>
      <c r="J471" s="224">
        <v>97178</v>
      </c>
      <c r="K471" s="226">
        <f t="shared" si="262"/>
        <v>1.0733754728873477E-3</v>
      </c>
      <c r="L471" s="224">
        <f t="shared" ref="L471" si="267">G471/E471</f>
        <v>362.93911007025764</v>
      </c>
      <c r="M471" s="261"/>
    </row>
    <row r="472" spans="1:13" x14ac:dyDescent="0.15">
      <c r="A472" s="221"/>
      <c r="B472" s="242" t="s">
        <v>11</v>
      </c>
      <c r="C472" s="223" t="s">
        <v>1072</v>
      </c>
      <c r="D472" s="223" t="s">
        <v>2929</v>
      </c>
      <c r="E472" s="224">
        <v>20</v>
      </c>
      <c r="F472" s="222" t="s">
        <v>2519</v>
      </c>
      <c r="G472" s="224">
        <v>607</v>
      </c>
      <c r="H472" s="225">
        <v>3</v>
      </c>
      <c r="I472" s="224">
        <f t="shared" si="223"/>
        <v>202.33333333333334</v>
      </c>
      <c r="J472" s="224">
        <v>10383.1</v>
      </c>
      <c r="K472" s="226">
        <f t="shared" si="262"/>
        <v>1.0510387353486369E-4</v>
      </c>
      <c r="L472" s="224">
        <f t="shared" si="224"/>
        <v>30.35</v>
      </c>
      <c r="M472" s="261"/>
    </row>
    <row r="473" spans="1:13" x14ac:dyDescent="0.15">
      <c r="A473" s="221"/>
      <c r="B473" s="222" t="s">
        <v>11</v>
      </c>
      <c r="C473" s="223" t="s">
        <v>496</v>
      </c>
      <c r="D473" s="223" t="s">
        <v>2930</v>
      </c>
      <c r="E473" s="224">
        <v>21.9</v>
      </c>
      <c r="F473" s="222" t="s">
        <v>2515</v>
      </c>
      <c r="G473" s="224">
        <v>4665</v>
      </c>
      <c r="H473" s="225">
        <v>12</v>
      </c>
      <c r="I473" s="224">
        <f t="shared" si="223"/>
        <v>388.75</v>
      </c>
      <c r="J473" s="224">
        <v>29206</v>
      </c>
      <c r="K473" s="226">
        <f t="shared" si="262"/>
        <v>8.0775876448128362E-4</v>
      </c>
      <c r="L473" s="224">
        <f t="shared" si="224"/>
        <v>213.01369863013701</v>
      </c>
      <c r="M473" s="261"/>
    </row>
    <row r="474" spans="1:13" x14ac:dyDescent="0.15">
      <c r="A474" s="221"/>
      <c r="B474" s="242" t="s">
        <v>11</v>
      </c>
      <c r="C474" s="236" t="s">
        <v>281</v>
      </c>
      <c r="D474" s="223" t="s">
        <v>2931</v>
      </c>
      <c r="E474" s="224">
        <v>20</v>
      </c>
      <c r="F474" s="222" t="s">
        <v>2519</v>
      </c>
      <c r="G474" s="224">
        <v>1503</v>
      </c>
      <c r="H474" s="225">
        <v>7</v>
      </c>
      <c r="I474" s="224">
        <f t="shared" si="223"/>
        <v>214.71428571428572</v>
      </c>
      <c r="J474" s="224">
        <v>22401</v>
      </c>
      <c r="K474" s="226">
        <f t="shared" si="262"/>
        <v>2.6024896527660651E-4</v>
      </c>
      <c r="L474" s="224">
        <f t="shared" si="224"/>
        <v>75.150000000000006</v>
      </c>
      <c r="M474" s="261"/>
    </row>
    <row r="475" spans="1:13" x14ac:dyDescent="0.15">
      <c r="A475" s="221"/>
      <c r="B475" s="242" t="s">
        <v>11</v>
      </c>
      <c r="C475" s="236" t="s">
        <v>753</v>
      </c>
      <c r="D475" s="223" t="s">
        <v>2366</v>
      </c>
      <c r="E475" s="224">
        <v>20</v>
      </c>
      <c r="F475" s="222" t="s">
        <v>2318</v>
      </c>
      <c r="G475" s="224">
        <v>1539</v>
      </c>
      <c r="H475" s="225">
        <v>6</v>
      </c>
      <c r="I475" s="224">
        <f t="shared" si="223"/>
        <v>256.5</v>
      </c>
      <c r="J475" s="224">
        <v>12441.5</v>
      </c>
      <c r="K475" s="226">
        <f t="shared" si="262"/>
        <v>2.6648247342694436E-4</v>
      </c>
      <c r="L475" s="224">
        <f t="shared" si="224"/>
        <v>76.95</v>
      </c>
      <c r="M475" s="261"/>
    </row>
    <row r="476" spans="1:13" x14ac:dyDescent="0.15">
      <c r="A476" s="221"/>
      <c r="B476" s="242" t="s">
        <v>11</v>
      </c>
      <c r="C476" s="236" t="s">
        <v>282</v>
      </c>
      <c r="D476" s="223" t="s">
        <v>2336</v>
      </c>
      <c r="E476" s="224">
        <v>22.06</v>
      </c>
      <c r="F476" s="222" t="s">
        <v>2318</v>
      </c>
      <c r="G476" s="224">
        <v>1067</v>
      </c>
      <c r="H476" s="225">
        <v>4</v>
      </c>
      <c r="I476" s="224">
        <f t="shared" ref="I476:I526" si="268">IF(OR(H476=0,G476=0),0,G476/H476)</f>
        <v>266.75</v>
      </c>
      <c r="J476" s="224">
        <v>10125.9</v>
      </c>
      <c r="K476" s="226">
        <f t="shared" si="262"/>
        <v>1.8475425545584772E-4</v>
      </c>
      <c r="L476" s="224">
        <f t="shared" ref="L476:L527" si="269">G476/E476</f>
        <v>48.368087035358116</v>
      </c>
      <c r="M476" s="261"/>
    </row>
    <row r="477" spans="1:13" x14ac:dyDescent="0.15">
      <c r="A477" s="221"/>
      <c r="B477" s="242" t="s">
        <v>11</v>
      </c>
      <c r="C477" s="236" t="s">
        <v>617</v>
      </c>
      <c r="D477" s="223" t="s">
        <v>2932</v>
      </c>
      <c r="E477" s="224">
        <v>17.75</v>
      </c>
      <c r="F477" s="222" t="s">
        <v>2548</v>
      </c>
      <c r="G477" s="224">
        <v>6499</v>
      </c>
      <c r="H477" s="225">
        <v>272</v>
      </c>
      <c r="I477" s="224">
        <f t="shared" si="268"/>
        <v>23.893382352941178</v>
      </c>
      <c r="J477" s="224">
        <v>60242</v>
      </c>
      <c r="K477" s="226">
        <f t="shared" ref="K477" si="270">G477/$G$527</f>
        <v>1.1253213741401634E-3</v>
      </c>
      <c r="L477" s="224">
        <f t="shared" si="269"/>
        <v>366.14084507042253</v>
      </c>
      <c r="M477" s="261"/>
    </row>
    <row r="478" spans="1:13" x14ac:dyDescent="0.15">
      <c r="A478" s="221"/>
      <c r="B478" s="222" t="s">
        <v>11</v>
      </c>
      <c r="C478" s="223" t="s">
        <v>286</v>
      </c>
      <c r="D478" s="223" t="s">
        <v>2933</v>
      </c>
      <c r="E478" s="224">
        <v>10</v>
      </c>
      <c r="F478" s="222" t="s">
        <v>2548</v>
      </c>
      <c r="G478" s="224">
        <v>1688</v>
      </c>
      <c r="H478" s="225">
        <v>58</v>
      </c>
      <c r="I478" s="224">
        <f t="shared" si="268"/>
        <v>29.103448275862068</v>
      </c>
      <c r="J478" s="224">
        <v>18721</v>
      </c>
      <c r="K478" s="226">
        <f t="shared" ref="K478:K498" si="271">G478/$G$527</f>
        <v>2.9228227104917615E-4</v>
      </c>
      <c r="L478" s="224">
        <f t="shared" si="269"/>
        <v>168.8</v>
      </c>
      <c r="M478" s="261"/>
    </row>
    <row r="479" spans="1:13" x14ac:dyDescent="0.15">
      <c r="A479" s="221"/>
      <c r="B479" s="222" t="s">
        <v>11</v>
      </c>
      <c r="C479" s="223" t="s">
        <v>1078</v>
      </c>
      <c r="D479" s="222" t="s">
        <v>2934</v>
      </c>
      <c r="E479" s="224">
        <v>18.38</v>
      </c>
      <c r="F479" s="222" t="s">
        <v>2517</v>
      </c>
      <c r="G479" s="224">
        <v>1925.8</v>
      </c>
      <c r="H479" s="225">
        <v>19</v>
      </c>
      <c r="I479" s="224">
        <f t="shared" si="268"/>
        <v>101.3578947368421</v>
      </c>
      <c r="J479" s="224">
        <v>20792.100000000002</v>
      </c>
      <c r="K479" s="226">
        <f t="shared" si="271"/>
        <v>3.3345805544224137E-4</v>
      </c>
      <c r="L479" s="224">
        <f t="shared" si="269"/>
        <v>104.77693144722525</v>
      </c>
      <c r="M479" s="261"/>
    </row>
    <row r="480" spans="1:13" x14ac:dyDescent="0.15">
      <c r="A480" s="221"/>
      <c r="B480" s="222" t="s">
        <v>11</v>
      </c>
      <c r="C480" s="223" t="s">
        <v>287</v>
      </c>
      <c r="D480" s="223" t="s">
        <v>2935</v>
      </c>
      <c r="E480" s="224">
        <v>15.1</v>
      </c>
      <c r="F480" s="222" t="s">
        <v>2517</v>
      </c>
      <c r="G480" s="224">
        <v>2921.5</v>
      </c>
      <c r="H480" s="225">
        <v>66</v>
      </c>
      <c r="I480" s="224">
        <f t="shared" si="268"/>
        <v>44.265151515151516</v>
      </c>
      <c r="J480" s="224">
        <v>23792.799999999999</v>
      </c>
      <c r="K480" s="226">
        <f t="shared" si="271"/>
        <v>5.0586650170033655E-4</v>
      </c>
      <c r="L480" s="224">
        <f t="shared" si="269"/>
        <v>193.476821192053</v>
      </c>
      <c r="M480" s="261"/>
    </row>
    <row r="481" spans="1:13" s="243" customFormat="1" x14ac:dyDescent="0.15">
      <c r="A481" s="221"/>
      <c r="B481" s="222" t="s">
        <v>11</v>
      </c>
      <c r="C481" s="223" t="s">
        <v>827</v>
      </c>
      <c r="D481" s="223" t="s">
        <v>2936</v>
      </c>
      <c r="E481" s="224">
        <v>21.6</v>
      </c>
      <c r="F481" s="222" t="s">
        <v>2517</v>
      </c>
      <c r="G481" s="224">
        <v>3739</v>
      </c>
      <c r="H481" s="225">
        <v>6</v>
      </c>
      <c r="I481" s="224">
        <f t="shared" si="268"/>
        <v>623.16666666666663</v>
      </c>
      <c r="J481" s="224">
        <v>42157</v>
      </c>
      <c r="K481" s="226">
        <f t="shared" si="271"/>
        <v>6.4741908261425928E-4</v>
      </c>
      <c r="L481" s="224">
        <f t="shared" si="269"/>
        <v>173.10185185185185</v>
      </c>
      <c r="M481" s="261"/>
    </row>
    <row r="482" spans="1:13" s="243" customFormat="1" x14ac:dyDescent="0.15">
      <c r="A482" s="221"/>
      <c r="B482" s="222" t="s">
        <v>11</v>
      </c>
      <c r="C482" s="223" t="s">
        <v>288</v>
      </c>
      <c r="D482" s="223" t="s">
        <v>2937</v>
      </c>
      <c r="E482" s="224">
        <v>15.9</v>
      </c>
      <c r="F482" s="222" t="s">
        <v>2517</v>
      </c>
      <c r="G482" s="224">
        <v>2666</v>
      </c>
      <c r="H482" s="225">
        <v>141</v>
      </c>
      <c r="I482" s="224">
        <f t="shared" si="268"/>
        <v>18.907801418439718</v>
      </c>
      <c r="J482" s="224">
        <v>24014</v>
      </c>
      <c r="K482" s="226">
        <f t="shared" si="271"/>
        <v>4.616259091333552E-4</v>
      </c>
      <c r="L482" s="224">
        <f t="shared" si="269"/>
        <v>167.67295597484275</v>
      </c>
      <c r="M482" s="261"/>
    </row>
    <row r="483" spans="1:13" s="243" customFormat="1" x14ac:dyDescent="0.15">
      <c r="A483" s="221"/>
      <c r="B483" s="242" t="s">
        <v>11</v>
      </c>
      <c r="C483" s="236" t="s">
        <v>1594</v>
      </c>
      <c r="D483" s="222" t="s">
        <v>2938</v>
      </c>
      <c r="E483" s="224">
        <v>10</v>
      </c>
      <c r="F483" s="222" t="s">
        <v>2517</v>
      </c>
      <c r="G483" s="224">
        <v>610</v>
      </c>
      <c r="H483" s="225">
        <v>27</v>
      </c>
      <c r="I483" s="224">
        <f t="shared" ref="I483" si="272">IF(OR(H483=0,G483=0),0,G483/H483)</f>
        <v>22.592592592592592</v>
      </c>
      <c r="J483" s="224">
        <v>7479</v>
      </c>
      <c r="K483" s="226">
        <f t="shared" si="271"/>
        <v>1.0562333254739186E-4</v>
      </c>
      <c r="L483" s="224">
        <f t="shared" ref="L483" si="273">G483/E483</f>
        <v>61</v>
      </c>
      <c r="M483" s="261"/>
    </row>
    <row r="484" spans="1:13" s="243" customFormat="1" x14ac:dyDescent="0.15">
      <c r="A484" s="221"/>
      <c r="B484" s="242" t="s">
        <v>11</v>
      </c>
      <c r="C484" s="236" t="s">
        <v>640</v>
      </c>
      <c r="D484" s="223" t="s">
        <v>2939</v>
      </c>
      <c r="E484" s="224">
        <v>21.2</v>
      </c>
      <c r="F484" s="222" t="s">
        <v>2517</v>
      </c>
      <c r="G484" s="224">
        <v>2469</v>
      </c>
      <c r="H484" s="225">
        <v>45</v>
      </c>
      <c r="I484" s="224">
        <f t="shared" si="268"/>
        <v>54.866666666666667</v>
      </c>
      <c r="J484" s="224">
        <v>24066</v>
      </c>
      <c r="K484" s="226">
        <f t="shared" si="271"/>
        <v>4.2751476731067294E-4</v>
      </c>
      <c r="L484" s="224">
        <f t="shared" si="269"/>
        <v>116.4622641509434</v>
      </c>
      <c r="M484" s="261"/>
    </row>
    <row r="485" spans="1:13" s="243" customFormat="1" x14ac:dyDescent="0.15">
      <c r="A485" s="221"/>
      <c r="B485" s="242" t="s">
        <v>11</v>
      </c>
      <c r="C485" s="223" t="s">
        <v>517</v>
      </c>
      <c r="D485" s="223" t="s">
        <v>2940</v>
      </c>
      <c r="E485" s="224">
        <v>17.079999999999998</v>
      </c>
      <c r="F485" s="222" t="s">
        <v>2515</v>
      </c>
      <c r="G485" s="224">
        <v>3414</v>
      </c>
      <c r="H485" s="225">
        <v>12</v>
      </c>
      <c r="I485" s="224">
        <f t="shared" si="268"/>
        <v>284.5</v>
      </c>
      <c r="J485" s="224">
        <v>38398</v>
      </c>
      <c r="K485" s="226">
        <f t="shared" si="271"/>
        <v>5.9114435625704225E-4</v>
      </c>
      <c r="L485" s="224">
        <f t="shared" si="269"/>
        <v>199.88290398126466</v>
      </c>
      <c r="M485" s="261"/>
    </row>
    <row r="486" spans="1:13" s="243" customFormat="1" x14ac:dyDescent="0.15">
      <c r="A486" s="221"/>
      <c r="B486" s="222" t="s">
        <v>11</v>
      </c>
      <c r="C486" s="223" t="s">
        <v>897</v>
      </c>
      <c r="D486" s="223" t="s">
        <v>2941</v>
      </c>
      <c r="E486" s="224">
        <v>19</v>
      </c>
      <c r="F486" s="222" t="s">
        <v>2519</v>
      </c>
      <c r="G486" s="224">
        <v>1726</v>
      </c>
      <c r="H486" s="225">
        <v>9</v>
      </c>
      <c r="I486" s="224">
        <f t="shared" si="268"/>
        <v>191.77777777777777</v>
      </c>
      <c r="J486" s="224">
        <v>25215</v>
      </c>
      <c r="K486" s="226">
        <f t="shared" si="271"/>
        <v>2.9886208520786615E-4</v>
      </c>
      <c r="L486" s="224">
        <f t="shared" si="269"/>
        <v>90.84210526315789</v>
      </c>
      <c r="M486" s="261"/>
    </row>
    <row r="487" spans="1:13" s="243" customFormat="1" x14ac:dyDescent="0.15">
      <c r="A487" s="221"/>
      <c r="B487" s="222" t="s">
        <v>11</v>
      </c>
      <c r="C487" s="223" t="s">
        <v>1096</v>
      </c>
      <c r="D487" s="223" t="s">
        <v>2332</v>
      </c>
      <c r="E487" s="224">
        <v>20</v>
      </c>
      <c r="F487" s="222" t="s">
        <v>2318</v>
      </c>
      <c r="G487" s="224">
        <v>1632</v>
      </c>
      <c r="H487" s="225">
        <v>11</v>
      </c>
      <c r="I487" s="224">
        <f t="shared" ref="I487" si="274">IF(OR(H487=0,G487=0),0,G487/H487)</f>
        <v>148.36363636363637</v>
      </c>
      <c r="J487" s="224">
        <v>9153</v>
      </c>
      <c r="K487" s="226">
        <f t="shared" si="271"/>
        <v>2.8258570281531725E-4</v>
      </c>
      <c r="L487" s="224">
        <f t="shared" ref="L487" si="275">G487/E487</f>
        <v>81.599999999999994</v>
      </c>
      <c r="M487" s="261"/>
    </row>
    <row r="488" spans="1:13" s="243" customFormat="1" x14ac:dyDescent="0.15">
      <c r="A488" s="221"/>
      <c r="B488" s="222" t="s">
        <v>11</v>
      </c>
      <c r="C488" s="236" t="s">
        <v>1112</v>
      </c>
      <c r="D488" s="223" t="s">
        <v>2942</v>
      </c>
      <c r="E488" s="224">
        <v>20</v>
      </c>
      <c r="F488" s="222" t="s">
        <v>2532</v>
      </c>
      <c r="G488" s="224">
        <v>7254</v>
      </c>
      <c r="H488" s="225">
        <v>16</v>
      </c>
      <c r="I488" s="224">
        <f t="shared" ref="I488" si="276">IF(OR(H488=0,G488=0),0,G488/H488)</f>
        <v>453.375</v>
      </c>
      <c r="J488" s="224">
        <v>46891.9</v>
      </c>
      <c r="K488" s="226">
        <f t="shared" si="271"/>
        <v>1.2560518922930827E-3</v>
      </c>
      <c r="L488" s="224">
        <f t="shared" ref="L488" si="277">G488/E488</f>
        <v>362.7</v>
      </c>
      <c r="M488" s="261"/>
    </row>
    <row r="489" spans="1:13" s="243" customFormat="1" x14ac:dyDescent="0.15">
      <c r="A489" s="221"/>
      <c r="B489" s="222" t="s">
        <v>11</v>
      </c>
      <c r="C489" s="223" t="s">
        <v>1588</v>
      </c>
      <c r="D489" s="223" t="s">
        <v>2367</v>
      </c>
      <c r="E489" s="224">
        <v>20</v>
      </c>
      <c r="F489" s="222" t="s">
        <v>2318</v>
      </c>
      <c r="G489" s="224">
        <v>2431.4</v>
      </c>
      <c r="H489" s="225">
        <v>8</v>
      </c>
      <c r="I489" s="224">
        <f t="shared" ref="I489" si="278">IF(OR(H489=0,G489=0),0,G489/H489)</f>
        <v>303.92500000000001</v>
      </c>
      <c r="J489" s="224">
        <v>8978.7999999999993</v>
      </c>
      <c r="K489" s="226">
        <f t="shared" si="271"/>
        <v>4.2100421435365337E-4</v>
      </c>
      <c r="L489" s="224">
        <f t="shared" ref="L489" si="279">G489/E489</f>
        <v>121.57000000000001</v>
      </c>
      <c r="M489" s="261"/>
    </row>
    <row r="490" spans="1:13" s="243" customFormat="1" x14ac:dyDescent="0.15">
      <c r="A490" s="221"/>
      <c r="B490" s="222" t="s">
        <v>11</v>
      </c>
      <c r="C490" s="223" t="s">
        <v>605</v>
      </c>
      <c r="D490" s="223" t="s">
        <v>2337</v>
      </c>
      <c r="E490" s="224">
        <v>30.2</v>
      </c>
      <c r="F490" s="222" t="s">
        <v>2318</v>
      </c>
      <c r="G490" s="224">
        <v>88</v>
      </c>
      <c r="H490" s="225">
        <v>1</v>
      </c>
      <c r="I490" s="224">
        <f t="shared" si="268"/>
        <v>88</v>
      </c>
      <c r="J490" s="224">
        <v>8700</v>
      </c>
      <c r="K490" s="226">
        <f t="shared" si="271"/>
        <v>1.5237464367492596E-5</v>
      </c>
      <c r="L490" s="224">
        <f t="shared" si="269"/>
        <v>2.9139072847682121</v>
      </c>
      <c r="M490" s="261"/>
    </row>
    <row r="491" spans="1:13" s="243" customFormat="1" x14ac:dyDescent="0.15">
      <c r="A491" s="221"/>
      <c r="B491" s="222" t="s">
        <v>11</v>
      </c>
      <c r="C491" s="223" t="s">
        <v>1007</v>
      </c>
      <c r="D491" s="223" t="s">
        <v>2943</v>
      </c>
      <c r="E491" s="224">
        <v>14.86</v>
      </c>
      <c r="F491" s="222" t="s">
        <v>2517</v>
      </c>
      <c r="G491" s="224">
        <v>1509</v>
      </c>
      <c r="H491" s="225">
        <v>5</v>
      </c>
      <c r="I491" s="224">
        <f t="shared" si="268"/>
        <v>301.8</v>
      </c>
      <c r="J491" s="224">
        <v>16957</v>
      </c>
      <c r="K491" s="226">
        <f t="shared" si="271"/>
        <v>2.6128788330166279E-4</v>
      </c>
      <c r="L491" s="224">
        <f t="shared" si="269"/>
        <v>101.54777927321669</v>
      </c>
      <c r="M491" s="261"/>
    </row>
    <row r="492" spans="1:13" s="243" customFormat="1" x14ac:dyDescent="0.15">
      <c r="A492" s="221"/>
      <c r="B492" s="222" t="s">
        <v>11</v>
      </c>
      <c r="C492" s="223" t="s">
        <v>708</v>
      </c>
      <c r="D492" s="222" t="s">
        <v>2368</v>
      </c>
      <c r="E492" s="224">
        <v>17</v>
      </c>
      <c r="F492" s="222" t="s">
        <v>2318</v>
      </c>
      <c r="G492" s="224">
        <v>599</v>
      </c>
      <c r="H492" s="225">
        <v>1</v>
      </c>
      <c r="I492" s="224">
        <f t="shared" si="268"/>
        <v>599</v>
      </c>
      <c r="J492" s="224">
        <v>2971</v>
      </c>
      <c r="K492" s="226">
        <f t="shared" si="271"/>
        <v>1.0371864950145528E-4</v>
      </c>
      <c r="L492" s="224">
        <f t="shared" si="269"/>
        <v>35.235294117647058</v>
      </c>
      <c r="M492" s="261"/>
    </row>
    <row r="493" spans="1:13" s="243" customFormat="1" x14ac:dyDescent="0.15">
      <c r="A493" s="221"/>
      <c r="B493" s="242" t="s">
        <v>11</v>
      </c>
      <c r="C493" s="236" t="s">
        <v>1585</v>
      </c>
      <c r="D493" s="222" t="s">
        <v>2338</v>
      </c>
      <c r="E493" s="224">
        <v>13.67</v>
      </c>
      <c r="F493" s="222" t="s">
        <v>2318</v>
      </c>
      <c r="G493" s="224"/>
      <c r="H493" s="225"/>
      <c r="I493" s="224">
        <f t="shared" ref="I493" si="280">IF(OR(H493=0,G493=0),0,G493/H493)</f>
        <v>0</v>
      </c>
      <c r="J493" s="224"/>
      <c r="K493" s="226">
        <f t="shared" si="271"/>
        <v>0</v>
      </c>
      <c r="L493" s="224">
        <f t="shared" ref="L493" si="281">G493/E493</f>
        <v>0</v>
      </c>
      <c r="M493" s="261"/>
    </row>
    <row r="494" spans="1:13" s="243" customFormat="1" x14ac:dyDescent="0.15">
      <c r="A494" s="221"/>
      <c r="B494" s="242" t="s">
        <v>11</v>
      </c>
      <c r="C494" s="236" t="s">
        <v>1152</v>
      </c>
      <c r="D494" s="223" t="s">
        <v>2944</v>
      </c>
      <c r="E494" s="224">
        <v>20.62</v>
      </c>
      <c r="F494" s="222" t="s">
        <v>2548</v>
      </c>
      <c r="G494" s="224">
        <v>2121</v>
      </c>
      <c r="H494" s="225">
        <v>4</v>
      </c>
      <c r="I494" s="224">
        <f t="shared" ref="I494" si="282">IF(OR(H494=0,G494=0),0,G494/H494)</f>
        <v>530.25</v>
      </c>
      <c r="J494" s="224">
        <v>24604</v>
      </c>
      <c r="K494" s="226">
        <f t="shared" si="271"/>
        <v>3.6725752185740675E-4</v>
      </c>
      <c r="L494" s="224">
        <f t="shared" ref="L494" si="283">G494/E494</f>
        <v>102.86129970902036</v>
      </c>
      <c r="M494" s="261"/>
    </row>
    <row r="495" spans="1:13" s="243" customFormat="1" x14ac:dyDescent="0.15">
      <c r="A495" s="221"/>
      <c r="B495" s="242" t="s">
        <v>11</v>
      </c>
      <c r="C495" s="236" t="s">
        <v>1126</v>
      </c>
      <c r="D495" s="223" t="s">
        <v>2945</v>
      </c>
      <c r="E495" s="224">
        <v>51.91</v>
      </c>
      <c r="F495" s="222" t="s">
        <v>2517</v>
      </c>
      <c r="G495" s="224">
        <v>5991.5</v>
      </c>
      <c r="H495" s="225">
        <v>58</v>
      </c>
      <c r="I495" s="224">
        <f t="shared" ref="I495" si="284">IF(OR(H495=0,G495=0),0,G495/H495)</f>
        <v>103.30172413793103</v>
      </c>
      <c r="J495" s="224">
        <v>58326.5</v>
      </c>
      <c r="K495" s="226">
        <f t="shared" si="271"/>
        <v>1.0374462245208169E-3</v>
      </c>
      <c r="L495" s="224">
        <f t="shared" ref="L495" si="285">G495/E495</f>
        <v>115.42092082450395</v>
      </c>
      <c r="M495" s="261"/>
    </row>
    <row r="496" spans="1:13" s="243" customFormat="1" x14ac:dyDescent="0.15">
      <c r="A496" s="221"/>
      <c r="B496" s="242" t="s">
        <v>11</v>
      </c>
      <c r="C496" s="236" t="s">
        <v>695</v>
      </c>
      <c r="D496" s="223" t="s">
        <v>2946</v>
      </c>
      <c r="E496" s="224">
        <v>11</v>
      </c>
      <c r="F496" s="222" t="s">
        <v>2517</v>
      </c>
      <c r="G496" s="224">
        <v>1738</v>
      </c>
      <c r="H496" s="225">
        <v>29</v>
      </c>
      <c r="I496" s="224">
        <f t="shared" si="268"/>
        <v>59.931034482758619</v>
      </c>
      <c r="J496" s="224">
        <v>14947</v>
      </c>
      <c r="K496" s="226">
        <f t="shared" si="271"/>
        <v>3.0093992125797877E-4</v>
      </c>
      <c r="L496" s="224">
        <f t="shared" si="269"/>
        <v>158</v>
      </c>
      <c r="M496" s="261"/>
    </row>
    <row r="497" spans="1:13" s="243" customFormat="1" x14ac:dyDescent="0.15">
      <c r="A497" s="221"/>
      <c r="B497" s="222" t="s">
        <v>491</v>
      </c>
      <c r="C497" s="223" t="s">
        <v>388</v>
      </c>
      <c r="D497" s="223" t="s">
        <v>2947</v>
      </c>
      <c r="E497" s="224">
        <v>21.6</v>
      </c>
      <c r="F497" s="222" t="s">
        <v>2532</v>
      </c>
      <c r="G497" s="224">
        <v>13889</v>
      </c>
      <c r="H497" s="225">
        <v>22</v>
      </c>
      <c r="I497" s="224">
        <f t="shared" si="268"/>
        <v>631.31818181818187</v>
      </c>
      <c r="J497" s="224">
        <v>88365</v>
      </c>
      <c r="K497" s="226">
        <f t="shared" si="271"/>
        <v>2.4049220750011892E-3</v>
      </c>
      <c r="L497" s="224">
        <f t="shared" si="269"/>
        <v>643.00925925925924</v>
      </c>
      <c r="M497" s="261"/>
    </row>
    <row r="498" spans="1:13" s="243" customFormat="1" x14ac:dyDescent="0.15">
      <c r="A498" s="221"/>
      <c r="B498" s="222" t="s">
        <v>11</v>
      </c>
      <c r="C498" s="223" t="s">
        <v>1812</v>
      </c>
      <c r="D498" s="223" t="s">
        <v>2369</v>
      </c>
      <c r="E498" s="224">
        <v>59.9</v>
      </c>
      <c r="F498" s="222" t="s">
        <v>1944</v>
      </c>
      <c r="G498" s="224"/>
      <c r="H498" s="225"/>
      <c r="I498" s="224">
        <f t="shared" si="268"/>
        <v>0</v>
      </c>
      <c r="J498" s="224"/>
      <c r="K498" s="226">
        <f t="shared" si="271"/>
        <v>0</v>
      </c>
      <c r="L498" s="224">
        <f t="shared" si="269"/>
        <v>0</v>
      </c>
      <c r="M498" s="261"/>
    </row>
    <row r="499" spans="1:13" s="243" customFormat="1" x14ac:dyDescent="0.15">
      <c r="A499" s="221"/>
      <c r="B499" s="222" t="s">
        <v>491</v>
      </c>
      <c r="C499" s="223" t="s">
        <v>1727</v>
      </c>
      <c r="D499" s="223" t="s">
        <v>2370</v>
      </c>
      <c r="E499" s="224">
        <v>69.900000000000006</v>
      </c>
      <c r="F499" s="222" t="s">
        <v>2318</v>
      </c>
      <c r="G499" s="224">
        <v>532</v>
      </c>
      <c r="H499" s="225">
        <v>1</v>
      </c>
      <c r="I499" s="224">
        <f t="shared" ref="I499" si="286">IF(OR(H499=0,G499=0),0,G499/H499)</f>
        <v>532</v>
      </c>
      <c r="J499" s="224">
        <v>40252</v>
      </c>
      <c r="K499" s="226">
        <f t="shared" ref="K499" si="287">G499/$G$527</f>
        <v>9.2117398221659775E-5</v>
      </c>
      <c r="L499" s="224">
        <f t="shared" ref="L499" si="288">G499/E499</f>
        <v>7.6108726752503566</v>
      </c>
      <c r="M499" s="261"/>
    </row>
    <row r="500" spans="1:13" x14ac:dyDescent="0.15">
      <c r="A500" s="221"/>
      <c r="B500" s="222" t="s">
        <v>11</v>
      </c>
      <c r="C500" s="223" t="s">
        <v>1124</v>
      </c>
      <c r="D500" s="223" t="s">
        <v>2339</v>
      </c>
      <c r="E500" s="224">
        <v>39.58</v>
      </c>
      <c r="F500" s="222" t="s">
        <v>2318</v>
      </c>
      <c r="G500" s="224">
        <v>1862</v>
      </c>
      <c r="H500" s="225">
        <v>2</v>
      </c>
      <c r="I500" s="224">
        <f t="shared" si="268"/>
        <v>931</v>
      </c>
      <c r="J500" s="224">
        <v>26974</v>
      </c>
      <c r="K500" s="226">
        <f>G500/$G$527</f>
        <v>3.2241089377580925E-4</v>
      </c>
      <c r="L500" s="224">
        <f t="shared" si="269"/>
        <v>47.043961596766046</v>
      </c>
      <c r="M500" s="261"/>
    </row>
    <row r="501" spans="1:13" x14ac:dyDescent="0.15">
      <c r="A501" s="221"/>
      <c r="B501" s="222" t="s">
        <v>11</v>
      </c>
      <c r="C501" s="223" t="s">
        <v>714</v>
      </c>
      <c r="D501" s="223" t="s">
        <v>2948</v>
      </c>
      <c r="E501" s="224">
        <v>21.21</v>
      </c>
      <c r="F501" s="222" t="s">
        <v>2517</v>
      </c>
      <c r="G501" s="224"/>
      <c r="H501" s="225"/>
      <c r="I501" s="224">
        <f t="shared" si="268"/>
        <v>0</v>
      </c>
      <c r="J501" s="224"/>
      <c r="K501" s="226">
        <f>G501/$G$527</f>
        <v>0</v>
      </c>
      <c r="L501" s="224">
        <f t="shared" si="269"/>
        <v>0</v>
      </c>
      <c r="M501" s="261"/>
    </row>
    <row r="502" spans="1:13" x14ac:dyDescent="0.15">
      <c r="A502" s="221"/>
      <c r="B502" s="222" t="s">
        <v>11</v>
      </c>
      <c r="C502" s="223" t="s">
        <v>1814</v>
      </c>
      <c r="D502" s="223" t="s">
        <v>2371</v>
      </c>
      <c r="E502" s="224">
        <v>21.21</v>
      </c>
      <c r="F502" s="222" t="s">
        <v>2318</v>
      </c>
      <c r="G502" s="224">
        <v>1163</v>
      </c>
      <c r="H502" s="225">
        <v>4</v>
      </c>
      <c r="I502" s="224">
        <f t="shared" ref="I502" si="289">IF(OR(H502=0,G502=0),0,G502/H502)</f>
        <v>290.75</v>
      </c>
      <c r="J502" s="224">
        <v>23230</v>
      </c>
      <c r="K502" s="226">
        <f>G502/$G$527</f>
        <v>2.0137694385674874E-4</v>
      </c>
      <c r="L502" s="224">
        <f t="shared" ref="L502" si="290">G502/E502</f>
        <v>54.832626119754828</v>
      </c>
      <c r="M502" s="261"/>
    </row>
    <row r="503" spans="1:13" x14ac:dyDescent="0.15">
      <c r="A503" s="221"/>
      <c r="B503" s="222" t="s">
        <v>11</v>
      </c>
      <c r="C503" s="223" t="s">
        <v>1596</v>
      </c>
      <c r="D503" s="223" t="s">
        <v>2949</v>
      </c>
      <c r="E503" s="224">
        <v>22.99</v>
      </c>
      <c r="F503" s="222" t="s">
        <v>2687</v>
      </c>
      <c r="G503" s="224">
        <v>1588</v>
      </c>
      <c r="H503" s="225">
        <v>9</v>
      </c>
      <c r="I503" s="224">
        <f t="shared" ref="I503" si="291">IF(OR(H503=0,G503=0),0,G503/H503)</f>
        <v>176.44444444444446</v>
      </c>
      <c r="J503" s="224">
        <v>13588.599999999999</v>
      </c>
      <c r="K503" s="226">
        <f>G503/$G$527</f>
        <v>2.7496697063157091E-4</v>
      </c>
      <c r="L503" s="224">
        <f t="shared" ref="L503" si="292">G503/E503</f>
        <v>69.073510221835591</v>
      </c>
      <c r="M503" s="261"/>
    </row>
    <row r="504" spans="1:13" x14ac:dyDescent="0.15">
      <c r="A504" s="221"/>
      <c r="B504" s="222" t="s">
        <v>11</v>
      </c>
      <c r="C504" s="223" t="s">
        <v>737</v>
      </c>
      <c r="D504" s="222" t="s">
        <v>2950</v>
      </c>
      <c r="E504" s="224">
        <v>22.72</v>
      </c>
      <c r="F504" s="222" t="s">
        <v>2951</v>
      </c>
      <c r="G504" s="224"/>
      <c r="H504" s="225"/>
      <c r="I504" s="224">
        <f t="shared" si="268"/>
        <v>0</v>
      </c>
      <c r="J504" s="224">
        <v>0</v>
      </c>
      <c r="K504" s="226">
        <f>G504/$G$527</f>
        <v>0</v>
      </c>
      <c r="L504" s="224">
        <f t="shared" si="269"/>
        <v>0</v>
      </c>
      <c r="M504" s="261"/>
    </row>
    <row r="505" spans="1:13" x14ac:dyDescent="0.15">
      <c r="A505" s="221"/>
      <c r="B505" s="242" t="s">
        <v>11</v>
      </c>
      <c r="C505" s="223" t="s">
        <v>1108</v>
      </c>
      <c r="D505" s="223" t="s">
        <v>2372</v>
      </c>
      <c r="E505" s="224">
        <v>43.3</v>
      </c>
      <c r="F505" s="222" t="s">
        <v>2318</v>
      </c>
      <c r="G505" s="224">
        <v>2481</v>
      </c>
      <c r="H505" s="225">
        <v>12</v>
      </c>
      <c r="I505" s="224">
        <f t="shared" ref="I505" si="293">IF(OR(H505=0,G505=0),0,G505/H505)</f>
        <v>206.75</v>
      </c>
      <c r="J505" s="224">
        <v>21898</v>
      </c>
      <c r="K505" s="226">
        <f t="shared" ref="K505:K513" si="294">G505/$G$527</f>
        <v>4.2959260336078556E-4</v>
      </c>
      <c r="L505" s="224">
        <f t="shared" ref="L505" si="295">G505/E505</f>
        <v>57.297921478060047</v>
      </c>
      <c r="M505" s="261"/>
    </row>
    <row r="506" spans="1:13" x14ac:dyDescent="0.15">
      <c r="A506" s="221"/>
      <c r="B506" s="242" t="s">
        <v>11</v>
      </c>
      <c r="C506" s="236" t="s">
        <v>905</v>
      </c>
      <c r="D506" s="223" t="s">
        <v>2952</v>
      </c>
      <c r="E506" s="224">
        <v>27.38</v>
      </c>
      <c r="F506" s="222" t="s">
        <v>2517</v>
      </c>
      <c r="G506" s="224">
        <v>969</v>
      </c>
      <c r="H506" s="225">
        <v>6</v>
      </c>
      <c r="I506" s="224">
        <f t="shared" si="268"/>
        <v>161.5</v>
      </c>
      <c r="J506" s="224">
        <v>6335</v>
      </c>
      <c r="K506" s="226">
        <f t="shared" si="294"/>
        <v>1.677852610465946E-4</v>
      </c>
      <c r="L506" s="224">
        <f t="shared" si="269"/>
        <v>35.390796201607017</v>
      </c>
      <c r="M506" s="261"/>
    </row>
    <row r="507" spans="1:13" x14ac:dyDescent="0.15">
      <c r="A507" s="221"/>
      <c r="B507" s="242" t="s">
        <v>11</v>
      </c>
      <c r="C507" s="236" t="s">
        <v>767</v>
      </c>
      <c r="D507" s="222" t="s">
        <v>2953</v>
      </c>
      <c r="E507" s="224">
        <v>33.06</v>
      </c>
      <c r="F507" s="222" t="s">
        <v>2951</v>
      </c>
      <c r="G507" s="224">
        <v>1526</v>
      </c>
      <c r="H507" s="225">
        <v>7</v>
      </c>
      <c r="I507" s="224">
        <f t="shared" si="268"/>
        <v>218</v>
      </c>
      <c r="J507" s="224">
        <v>18496</v>
      </c>
      <c r="K507" s="226">
        <f t="shared" si="294"/>
        <v>2.6423148437265567E-4</v>
      </c>
      <c r="L507" s="224">
        <f t="shared" si="269"/>
        <v>46.158499697519659</v>
      </c>
      <c r="M507" s="261"/>
    </row>
    <row r="508" spans="1:13" x14ac:dyDescent="0.15">
      <c r="A508" s="221"/>
      <c r="B508" s="242" t="s">
        <v>11</v>
      </c>
      <c r="C508" s="236" t="s">
        <v>497</v>
      </c>
      <c r="D508" s="223" t="s">
        <v>2373</v>
      </c>
      <c r="E508" s="224">
        <v>24.5</v>
      </c>
      <c r="F508" s="222" t="s">
        <v>2318</v>
      </c>
      <c r="G508" s="224"/>
      <c r="H508" s="225"/>
      <c r="I508" s="224">
        <f t="shared" si="268"/>
        <v>0</v>
      </c>
      <c r="J508" s="224"/>
      <c r="K508" s="226">
        <f t="shared" si="294"/>
        <v>0</v>
      </c>
      <c r="L508" s="224">
        <f t="shared" si="269"/>
        <v>0</v>
      </c>
      <c r="M508" s="261"/>
    </row>
    <row r="509" spans="1:13" x14ac:dyDescent="0.15">
      <c r="A509" s="221"/>
      <c r="B509" s="242" t="s">
        <v>11</v>
      </c>
      <c r="C509" s="236" t="s">
        <v>1854</v>
      </c>
      <c r="D509" s="223" t="s">
        <v>2918</v>
      </c>
      <c r="E509" s="224">
        <v>24.5</v>
      </c>
      <c r="F509" s="222" t="s">
        <v>2532</v>
      </c>
      <c r="G509" s="224">
        <v>22220.5</v>
      </c>
      <c r="H509" s="225">
        <v>35</v>
      </c>
      <c r="I509" s="224">
        <f t="shared" ref="I509" si="296">IF(OR(H509=0,G509=0),0,G509/H509)</f>
        <v>634.87142857142862</v>
      </c>
      <c r="J509" s="224">
        <v>110457.4</v>
      </c>
      <c r="K509" s="226">
        <f t="shared" ref="K509" si="297">G509/$G$527</f>
        <v>3.8475463292939683E-3</v>
      </c>
      <c r="L509" s="224">
        <f t="shared" ref="L509" si="298">G509/E509</f>
        <v>906.9591836734694</v>
      </c>
      <c r="M509" s="261"/>
    </row>
    <row r="510" spans="1:13" x14ac:dyDescent="0.15">
      <c r="A510" s="221"/>
      <c r="B510" s="242" t="s">
        <v>11</v>
      </c>
      <c r="C510" s="236" t="s">
        <v>283</v>
      </c>
      <c r="D510" s="223" t="s">
        <v>2374</v>
      </c>
      <c r="E510" s="224">
        <v>24.5</v>
      </c>
      <c r="F510" s="222" t="s">
        <v>2318</v>
      </c>
      <c r="G510" s="224">
        <v>1245</v>
      </c>
      <c r="H510" s="225">
        <v>4</v>
      </c>
      <c r="I510" s="224">
        <f t="shared" si="268"/>
        <v>311.25</v>
      </c>
      <c r="J510" s="224">
        <v>7773</v>
      </c>
      <c r="K510" s="226">
        <f t="shared" si="294"/>
        <v>2.15575490199185E-4</v>
      </c>
      <c r="L510" s="224">
        <f t="shared" si="269"/>
        <v>50.816326530612244</v>
      </c>
      <c r="M510" s="261"/>
    </row>
    <row r="511" spans="1:13" x14ac:dyDescent="0.15">
      <c r="A511" s="221"/>
      <c r="B511" s="242" t="s">
        <v>11</v>
      </c>
      <c r="C511" s="236" t="s">
        <v>1620</v>
      </c>
      <c r="D511" s="223" t="s">
        <v>2954</v>
      </c>
      <c r="E511" s="224">
        <v>26.01</v>
      </c>
      <c r="F511" s="222" t="s">
        <v>2687</v>
      </c>
      <c r="G511" s="224">
        <v>2130</v>
      </c>
      <c r="H511" s="225">
        <v>5</v>
      </c>
      <c r="I511" s="224">
        <f t="shared" ref="I511" si="299">IF(OR(H511=0,G511=0),0,G511/H511)</f>
        <v>426</v>
      </c>
      <c r="J511" s="224">
        <v>29998.1</v>
      </c>
      <c r="K511" s="226">
        <f t="shared" si="294"/>
        <v>3.6881589889499125E-4</v>
      </c>
      <c r="L511" s="224">
        <f t="shared" ref="L511" si="300">G511/E511</f>
        <v>81.891580161476355</v>
      </c>
      <c r="M511" s="261"/>
    </row>
    <row r="512" spans="1:13" x14ac:dyDescent="0.15">
      <c r="A512" s="221"/>
      <c r="B512" s="242" t="s">
        <v>11</v>
      </c>
      <c r="C512" s="236" t="s">
        <v>1650</v>
      </c>
      <c r="D512" s="223" t="s">
        <v>2955</v>
      </c>
      <c r="E512" s="224">
        <v>25.88</v>
      </c>
      <c r="F512" s="222" t="s">
        <v>2515</v>
      </c>
      <c r="G512" s="224">
        <v>3878</v>
      </c>
      <c r="H512" s="225">
        <v>11</v>
      </c>
      <c r="I512" s="224">
        <f t="shared" ref="I512" si="301">IF(OR(H512=0,G512=0),0,G512/H512)</f>
        <v>352.54545454545456</v>
      </c>
      <c r="J512" s="224">
        <v>20876</v>
      </c>
      <c r="K512" s="226">
        <f t="shared" ref="K512" si="302">G512/$G$527</f>
        <v>6.7148735019473054E-4</v>
      </c>
      <c r="L512" s="224">
        <f t="shared" ref="L512" si="303">G512/E512</f>
        <v>149.84544049459043</v>
      </c>
      <c r="M512" s="261"/>
    </row>
    <row r="513" spans="1:13" x14ac:dyDescent="0.15">
      <c r="A513" s="221"/>
      <c r="B513" s="242" t="s">
        <v>491</v>
      </c>
      <c r="C513" s="236" t="s">
        <v>381</v>
      </c>
      <c r="D513" s="223" t="s">
        <v>2956</v>
      </c>
      <c r="E513" s="224">
        <v>311</v>
      </c>
      <c r="F513" s="222" t="s">
        <v>2913</v>
      </c>
      <c r="G513" s="225">
        <v>64618</v>
      </c>
      <c r="H513" s="225">
        <v>537</v>
      </c>
      <c r="I513" s="224">
        <f t="shared" si="268"/>
        <v>120.3314711359404</v>
      </c>
      <c r="J513" s="224">
        <v>320169.40000000002</v>
      </c>
      <c r="K513" s="226">
        <f t="shared" si="294"/>
        <v>1.1188800823848143E-2</v>
      </c>
      <c r="L513" s="224">
        <f t="shared" si="269"/>
        <v>207.7749196141479</v>
      </c>
      <c r="M513" s="258"/>
    </row>
    <row r="514" spans="1:13" x14ac:dyDescent="0.15">
      <c r="A514" s="221"/>
      <c r="B514" s="242" t="s">
        <v>11</v>
      </c>
      <c r="C514" s="236" t="s">
        <v>1109</v>
      </c>
      <c r="D514" s="222" t="s">
        <v>2957</v>
      </c>
      <c r="E514" s="224">
        <v>6.2</v>
      </c>
      <c r="F514" s="222" t="s">
        <v>2519</v>
      </c>
      <c r="G514" s="225">
        <v>1242</v>
      </c>
      <c r="H514" s="225">
        <v>9</v>
      </c>
      <c r="I514" s="224">
        <f t="shared" ref="I514" si="304">IF(OR(H514=0,G514=0),0,G514/H514)</f>
        <v>138</v>
      </c>
      <c r="J514" s="224">
        <v>4932</v>
      </c>
      <c r="K514" s="226">
        <f t="shared" ref="K514" si="305">G514/$G$527</f>
        <v>2.1505603118665686E-4</v>
      </c>
      <c r="L514" s="224">
        <f t="shared" ref="L514" si="306">G514/E514</f>
        <v>200.32258064516128</v>
      </c>
      <c r="M514" s="258"/>
    </row>
    <row r="515" spans="1:13" x14ac:dyDescent="0.15">
      <c r="A515" s="221"/>
      <c r="B515" s="242" t="s">
        <v>11</v>
      </c>
      <c r="C515" s="236" t="s">
        <v>544</v>
      </c>
      <c r="D515" s="223" t="s">
        <v>2958</v>
      </c>
      <c r="E515" s="224">
        <v>12</v>
      </c>
      <c r="F515" s="222" t="s">
        <v>2519</v>
      </c>
      <c r="G515" s="224">
        <v>2818</v>
      </c>
      <c r="H515" s="225">
        <v>27</v>
      </c>
      <c r="I515" s="224">
        <f t="shared" si="268"/>
        <v>104.37037037037037</v>
      </c>
      <c r="J515" s="224">
        <v>19336</v>
      </c>
      <c r="K515" s="226">
        <f t="shared" ref="K515:K527" si="307">G515/$G$527</f>
        <v>4.8794516576811515E-4</v>
      </c>
      <c r="L515" s="224">
        <f t="shared" si="269"/>
        <v>234.83333333333334</v>
      </c>
      <c r="M515" s="258"/>
    </row>
    <row r="516" spans="1:13" x14ac:dyDescent="0.15">
      <c r="A516" s="221"/>
      <c r="B516" s="242" t="s">
        <v>11</v>
      </c>
      <c r="C516" s="236" t="s">
        <v>671</v>
      </c>
      <c r="D516" s="223" t="s">
        <v>2959</v>
      </c>
      <c r="E516" s="224">
        <v>12</v>
      </c>
      <c r="F516" s="222" t="s">
        <v>2519</v>
      </c>
      <c r="G516" s="224"/>
      <c r="H516" s="225"/>
      <c r="I516" s="224">
        <f t="shared" si="268"/>
        <v>0</v>
      </c>
      <c r="J516" s="224"/>
      <c r="K516" s="226">
        <f t="shared" si="307"/>
        <v>0</v>
      </c>
      <c r="L516" s="224">
        <f t="shared" si="269"/>
        <v>0</v>
      </c>
      <c r="M516" s="258"/>
    </row>
    <row r="517" spans="1:13" x14ac:dyDescent="0.15">
      <c r="A517" s="221"/>
      <c r="B517" s="242" t="s">
        <v>11</v>
      </c>
      <c r="C517" s="236" t="s">
        <v>1805</v>
      </c>
      <c r="D517" s="223" t="s">
        <v>2960</v>
      </c>
      <c r="E517" s="224">
        <v>12</v>
      </c>
      <c r="F517" s="222" t="s">
        <v>2519</v>
      </c>
      <c r="G517" s="224">
        <v>2116</v>
      </c>
      <c r="H517" s="225">
        <v>18</v>
      </c>
      <c r="I517" s="224">
        <f t="shared" ref="I517" si="308">IF(OR(H517=0,G517=0),0,G517/H517)</f>
        <v>117.55555555555556</v>
      </c>
      <c r="J517" s="224">
        <v>12507</v>
      </c>
      <c r="K517" s="226">
        <f t="shared" ref="K517" si="309">G517/$G$527</f>
        <v>3.6639175683652648E-4</v>
      </c>
      <c r="L517" s="224">
        <f t="shared" ref="L517" si="310">G517/E517</f>
        <v>176.33333333333334</v>
      </c>
      <c r="M517" s="258"/>
    </row>
    <row r="518" spans="1:13" x14ac:dyDescent="0.15">
      <c r="A518" s="221"/>
      <c r="B518" s="242" t="s">
        <v>11</v>
      </c>
      <c r="C518" s="236" t="s">
        <v>626</v>
      </c>
      <c r="D518" s="223" t="s">
        <v>2961</v>
      </c>
      <c r="E518" s="224">
        <v>6</v>
      </c>
      <c r="F518" s="222" t="s">
        <v>2519</v>
      </c>
      <c r="G518" s="224">
        <v>5720</v>
      </c>
      <c r="H518" s="225">
        <v>19</v>
      </c>
      <c r="I518" s="224">
        <f t="shared" si="268"/>
        <v>301.05263157894734</v>
      </c>
      <c r="J518" s="224">
        <v>31339</v>
      </c>
      <c r="K518" s="226">
        <f t="shared" si="307"/>
        <v>9.9043518388701869E-4</v>
      </c>
      <c r="L518" s="224">
        <f t="shared" si="269"/>
        <v>953.33333333333337</v>
      </c>
      <c r="M518" s="258"/>
    </row>
    <row r="519" spans="1:13" x14ac:dyDescent="0.15">
      <c r="A519" s="221"/>
      <c r="B519" s="242" t="s">
        <v>11</v>
      </c>
      <c r="C519" s="236" t="s">
        <v>1119</v>
      </c>
      <c r="D519" s="223" t="s">
        <v>2962</v>
      </c>
      <c r="E519" s="224">
        <v>5</v>
      </c>
      <c r="F519" s="222" t="s">
        <v>2517</v>
      </c>
      <c r="G519" s="224">
        <v>753</v>
      </c>
      <c r="H519" s="225">
        <v>26</v>
      </c>
      <c r="I519" s="224">
        <f t="shared" ref="I519" si="311">IF(OR(H519=0,G519=0),0,G519/H519)</f>
        <v>28.96153846153846</v>
      </c>
      <c r="J519" s="224">
        <v>9370</v>
      </c>
      <c r="K519" s="226">
        <f t="shared" ref="K519" si="312">G519/$G$527</f>
        <v>1.3038421214456731E-4</v>
      </c>
      <c r="L519" s="224">
        <f t="shared" ref="L519" si="313">G519/E519</f>
        <v>150.6</v>
      </c>
      <c r="M519" s="258"/>
    </row>
    <row r="520" spans="1:13" x14ac:dyDescent="0.15">
      <c r="A520" s="221"/>
      <c r="B520" s="242" t="s">
        <v>11</v>
      </c>
      <c r="C520" s="236" t="s">
        <v>1704</v>
      </c>
      <c r="D520" s="223" t="s">
        <v>2963</v>
      </c>
      <c r="E520" s="224">
        <v>22</v>
      </c>
      <c r="F520" s="222" t="s">
        <v>2548</v>
      </c>
      <c r="G520" s="224">
        <v>4812.5</v>
      </c>
      <c r="H520" s="225">
        <v>75</v>
      </c>
      <c r="I520" s="224">
        <f t="shared" ref="I520" si="314">IF(OR(H520=0,G520=0),0,G520/H520)</f>
        <v>64.166666666666671</v>
      </c>
      <c r="J520" s="224">
        <v>45664.3</v>
      </c>
      <c r="K520" s="226">
        <f t="shared" ref="K520" si="315">G520/$G$527</f>
        <v>8.3329883259725135E-4</v>
      </c>
      <c r="L520" s="224">
        <f t="shared" ref="L520" si="316">G520/E520</f>
        <v>218.75</v>
      </c>
      <c r="M520" s="258"/>
    </row>
    <row r="521" spans="1:13" x14ac:dyDescent="0.15">
      <c r="A521" s="221"/>
      <c r="B521" s="242" t="s">
        <v>11</v>
      </c>
      <c r="C521" s="236" t="s">
        <v>1024</v>
      </c>
      <c r="D521" s="223" t="s">
        <v>2964</v>
      </c>
      <c r="E521" s="224">
        <v>35.33</v>
      </c>
      <c r="F521" s="222" t="s">
        <v>2548</v>
      </c>
      <c r="G521" s="224">
        <v>3063</v>
      </c>
      <c r="H521" s="225">
        <v>119</v>
      </c>
      <c r="I521" s="224">
        <f t="shared" si="268"/>
        <v>25.739495798319329</v>
      </c>
      <c r="J521" s="224">
        <v>34630</v>
      </c>
      <c r="K521" s="226">
        <f t="shared" si="307"/>
        <v>5.3036765179124794E-4</v>
      </c>
      <c r="L521" s="224">
        <f t="shared" si="269"/>
        <v>86.696858194169266</v>
      </c>
      <c r="M521" s="258"/>
    </row>
    <row r="522" spans="1:13" x14ac:dyDescent="0.15">
      <c r="A522" s="221"/>
      <c r="B522" s="242" t="s">
        <v>11</v>
      </c>
      <c r="C522" s="236" t="s">
        <v>1710</v>
      </c>
      <c r="D522" s="223" t="s">
        <v>2965</v>
      </c>
      <c r="E522" s="224">
        <v>27.53</v>
      </c>
      <c r="F522" s="222" t="s">
        <v>2548</v>
      </c>
      <c r="G522" s="224">
        <v>7361.5</v>
      </c>
      <c r="H522" s="225">
        <v>288</v>
      </c>
      <c r="I522" s="224">
        <f t="shared" ref="I522" si="317">IF(OR(H522=0,G522=0),0,G522/H522)</f>
        <v>25.560763888888889</v>
      </c>
      <c r="J522" s="224">
        <v>53431</v>
      </c>
      <c r="K522" s="226">
        <f t="shared" ref="K522" si="318">G522/$G$527</f>
        <v>1.2746658402420085E-3</v>
      </c>
      <c r="L522" s="224">
        <f t="shared" ref="L522" si="319">G522/E522</f>
        <v>267.39920087177626</v>
      </c>
      <c r="M522" s="258"/>
    </row>
    <row r="523" spans="1:13" x14ac:dyDescent="0.15">
      <c r="A523" s="221"/>
      <c r="B523" s="242" t="s">
        <v>491</v>
      </c>
      <c r="C523" s="236" t="s">
        <v>498</v>
      </c>
      <c r="D523" s="223" t="s">
        <v>389</v>
      </c>
      <c r="E523" s="224">
        <v>14537.8</v>
      </c>
      <c r="F523" s="222" t="s">
        <v>1972</v>
      </c>
      <c r="G523" s="224">
        <v>491343.18</v>
      </c>
      <c r="H523" s="225">
        <v>1</v>
      </c>
      <c r="I523" s="224">
        <f t="shared" si="268"/>
        <v>491343.18</v>
      </c>
      <c r="J523" s="224">
        <v>4531300.8500000006</v>
      </c>
      <c r="K523" s="226">
        <f t="shared" si="307"/>
        <v>8.5077547698414774E-2</v>
      </c>
      <c r="L523" s="224">
        <f t="shared" si="269"/>
        <v>33.797629627591519</v>
      </c>
      <c r="M523" s="261"/>
    </row>
    <row r="524" spans="1:13" x14ac:dyDescent="0.15">
      <c r="A524" s="221"/>
      <c r="B524" s="242" t="s">
        <v>11</v>
      </c>
      <c r="C524" s="236" t="s">
        <v>313</v>
      </c>
      <c r="D524" s="223" t="s">
        <v>2340</v>
      </c>
      <c r="E524" s="224">
        <v>838.41</v>
      </c>
      <c r="F524" s="222" t="s">
        <v>1940</v>
      </c>
      <c r="G524" s="224">
        <v>14848</v>
      </c>
      <c r="H524" s="225">
        <v>18</v>
      </c>
      <c r="I524" s="224">
        <f t="shared" si="268"/>
        <v>824.88888888888891</v>
      </c>
      <c r="J524" s="224">
        <v>159115</v>
      </c>
      <c r="K524" s="226">
        <f t="shared" si="307"/>
        <v>2.5709758060060233E-3</v>
      </c>
      <c r="L524" s="224">
        <f t="shared" si="269"/>
        <v>17.709712431865078</v>
      </c>
      <c r="M524" s="261"/>
    </row>
    <row r="525" spans="1:13" x14ac:dyDescent="0.15">
      <c r="A525" s="221"/>
      <c r="B525" s="222" t="s">
        <v>499</v>
      </c>
      <c r="C525" s="223" t="s">
        <v>500</v>
      </c>
      <c r="D525" s="223" t="s">
        <v>2341</v>
      </c>
      <c r="E525" s="224">
        <v>11</v>
      </c>
      <c r="F525" s="222" t="s">
        <v>2319</v>
      </c>
      <c r="G525" s="224"/>
      <c r="H525" s="225"/>
      <c r="I525" s="224">
        <f t="shared" si="268"/>
        <v>0</v>
      </c>
      <c r="J525" s="224"/>
      <c r="K525" s="226">
        <f t="shared" si="307"/>
        <v>0</v>
      </c>
      <c r="L525" s="224">
        <f t="shared" si="269"/>
        <v>0</v>
      </c>
      <c r="M525" s="261"/>
    </row>
    <row r="526" spans="1:13" x14ac:dyDescent="0.15">
      <c r="A526" s="230" t="s">
        <v>412</v>
      </c>
      <c r="B526" s="231"/>
      <c r="C526" s="231"/>
      <c r="D526" s="232"/>
      <c r="E526" s="233">
        <f>SUM(E442:E525)</f>
        <v>18474.2</v>
      </c>
      <c r="F526" s="232"/>
      <c r="G526" s="233">
        <f>SUM(G442:G525)</f>
        <v>964421.78</v>
      </c>
      <c r="H526" s="234">
        <f>SUM(H442:H525)</f>
        <v>4160</v>
      </c>
      <c r="I526" s="233">
        <f t="shared" si="268"/>
        <v>231.83215865384616</v>
      </c>
      <c r="J526" s="233">
        <f>SUM(J442:J525)</f>
        <v>8017586.8399999999</v>
      </c>
      <c r="K526" s="235">
        <f t="shared" si="307"/>
        <v>0.16699252849981572</v>
      </c>
      <c r="L526" s="233">
        <f t="shared" si="269"/>
        <v>52.203710038865012</v>
      </c>
      <c r="M526" s="262"/>
    </row>
    <row r="527" spans="1:13" x14ac:dyDescent="0.15">
      <c r="A527" s="244" t="s">
        <v>501</v>
      </c>
      <c r="B527" s="245"/>
      <c r="C527" s="245"/>
      <c r="D527" s="246"/>
      <c r="E527" s="246">
        <f>E526+E441+E434+E391+E368+E332+E274+E193+E122+E58+E6</f>
        <v>115453.307</v>
      </c>
      <c r="F527" s="246"/>
      <c r="G527" s="246">
        <f>G526+G441+G434+G391+G368+G332+G274+G193+G122+G58+G6+G8</f>
        <v>5775239.0999999996</v>
      </c>
      <c r="H527" s="246">
        <f>H526+H441+H434+H391+H368+H332+H274+H193+H122+H58+H6+H8</f>
        <v>26472</v>
      </c>
      <c r="I527" s="246">
        <f>G527/H527</f>
        <v>218.16406391659109</v>
      </c>
      <c r="J527" s="246">
        <f>J526+J441+J434+J391+J368+J332+J274+J193+J122+J58+J6+J8</f>
        <v>56392121.409999996</v>
      </c>
      <c r="K527" s="285">
        <f t="shared" si="307"/>
        <v>1</v>
      </c>
      <c r="L527" s="247">
        <f t="shared" si="269"/>
        <v>50.022292561961862</v>
      </c>
      <c r="M527" s="263"/>
    </row>
    <row r="528" spans="1:13" x14ac:dyDescent="0.15">
      <c r="A528" s="248" t="s">
        <v>502</v>
      </c>
      <c r="B528" s="249"/>
      <c r="C528" s="249"/>
      <c r="D528" s="249"/>
      <c r="E528" s="249"/>
      <c r="F528" s="249"/>
      <c r="G528" s="249"/>
      <c r="H528" s="249"/>
      <c r="I528" s="249"/>
      <c r="J528" s="249"/>
      <c r="K528" s="249"/>
      <c r="L528" s="249"/>
      <c r="M528" s="264"/>
    </row>
    <row r="529" spans="1:13" x14ac:dyDescent="0.15">
      <c r="A529" s="250" t="s">
        <v>2967</v>
      </c>
      <c r="B529" s="251"/>
      <c r="C529" s="251"/>
      <c r="D529" s="290"/>
      <c r="E529" s="251"/>
      <c r="F529" s="251"/>
      <c r="G529" s="251"/>
      <c r="H529" s="251"/>
      <c r="I529" s="251"/>
      <c r="J529" s="251"/>
      <c r="K529" s="251"/>
      <c r="L529" s="251"/>
      <c r="M529" s="265"/>
    </row>
    <row r="530" spans="1:13" x14ac:dyDescent="0.15">
      <c r="A530" s="250" t="s">
        <v>2968</v>
      </c>
      <c r="B530" s="251"/>
      <c r="C530" s="251"/>
      <c r="D530" s="251"/>
      <c r="E530" s="251"/>
      <c r="F530" s="251"/>
      <c r="G530" s="251"/>
      <c r="H530" s="251"/>
      <c r="I530" s="251"/>
      <c r="J530" s="251"/>
      <c r="K530" s="251"/>
      <c r="L530" s="251"/>
      <c r="M530" s="265"/>
    </row>
    <row r="531" spans="1:13" x14ac:dyDescent="0.15">
      <c r="A531" s="251" t="s">
        <v>1040</v>
      </c>
      <c r="B531" s="251"/>
      <c r="C531" s="251"/>
      <c r="D531" s="251"/>
      <c r="E531" s="251"/>
      <c r="F531" s="251"/>
      <c r="G531" s="251"/>
      <c r="H531" s="251"/>
      <c r="I531" s="251"/>
      <c r="J531" s="251"/>
      <c r="K531" s="251"/>
      <c r="L531" s="251"/>
      <c r="M531" s="265"/>
    </row>
    <row r="532" spans="1:13" x14ac:dyDescent="0.15">
      <c r="G532" s="256"/>
    </row>
    <row r="533" spans="1:13" x14ac:dyDescent="0.15">
      <c r="D533" s="289"/>
      <c r="G533" s="256"/>
    </row>
    <row r="534" spans="1:13" x14ac:dyDescent="0.15">
      <c r="G534" s="256"/>
    </row>
    <row r="535" spans="1:13" x14ac:dyDescent="0.15">
      <c r="G535" s="256"/>
    </row>
  </sheetData>
  <phoneticPr fontId="40" type="noConversion"/>
  <printOptions horizontalCentered="1"/>
  <pageMargins left="0" right="0" top="0" bottom="0" header="0" footer="0"/>
  <pageSetup paperSize="9" scale="70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67"/>
  <sheetViews>
    <sheetView topLeftCell="D1" workbookViewId="0">
      <selection activeCell="L1" sqref="L1"/>
    </sheetView>
  </sheetViews>
  <sheetFormatPr defaultRowHeight="14.25" x14ac:dyDescent="0.15"/>
  <cols>
    <col min="3" max="3" width="9.125" customWidth="1"/>
    <col min="4" max="4" width="9.125" bestFit="1" customWidth="1"/>
    <col min="6" max="6" width="9" customWidth="1"/>
    <col min="8" max="8" width="10.5" bestFit="1" customWidth="1"/>
    <col min="9" max="9" width="9" customWidth="1"/>
    <col min="10" max="10" width="10.25" customWidth="1"/>
    <col min="12" max="12" width="10.25" customWidth="1"/>
    <col min="13" max="13" width="9" customWidth="1"/>
  </cols>
  <sheetData>
    <row r="1" spans="1:14" ht="15.75" customHeight="1" x14ac:dyDescent="0.3">
      <c r="K1" s="168" t="s">
        <v>706</v>
      </c>
      <c r="L1" s="171" t="s">
        <v>2969</v>
      </c>
      <c r="M1" s="169" t="s">
        <v>278</v>
      </c>
      <c r="N1" s="170" t="s">
        <v>2970</v>
      </c>
    </row>
    <row r="2" spans="1:14" ht="19.5" customHeight="1" x14ac:dyDescent="0.15">
      <c r="A2" s="86"/>
      <c r="B2" s="331" t="s">
        <v>160</v>
      </c>
      <c r="C2" s="332"/>
      <c r="D2" s="332"/>
      <c r="E2" s="332"/>
      <c r="F2" s="332"/>
      <c r="G2" s="333"/>
      <c r="K2" s="174" t="s">
        <v>1747</v>
      </c>
      <c r="L2" s="173">
        <v>42429</v>
      </c>
      <c r="M2" s="174" t="s">
        <v>162</v>
      </c>
      <c r="N2" s="173">
        <v>42436</v>
      </c>
    </row>
    <row r="3" spans="1:14" x14ac:dyDescent="0.15">
      <c r="B3" s="12" t="s">
        <v>2</v>
      </c>
      <c r="C3" s="7" t="s">
        <v>26</v>
      </c>
      <c r="D3" s="7" t="s">
        <v>24</v>
      </c>
      <c r="E3" s="7" t="s">
        <v>238</v>
      </c>
      <c r="F3" s="7" t="s">
        <v>27</v>
      </c>
      <c r="G3" s="13" t="s">
        <v>21</v>
      </c>
    </row>
    <row r="4" spans="1:14" ht="15" customHeight="1" x14ac:dyDescent="0.15">
      <c r="B4" s="26" t="s">
        <v>3</v>
      </c>
      <c r="C4" s="61">
        <f>SUMIF(销售数据!$D:$D,"F1",销售数据!$C:$C)</f>
        <v>13690.5</v>
      </c>
      <c r="D4" s="99">
        <f>SUMIF(销售数据!$D:$D,"F1",销售数据!$H:$H)</f>
        <v>1599242.5999999999</v>
      </c>
      <c r="E4" s="62">
        <f t="shared" ref="E4:E17" si="0">D4/$D$18</f>
        <v>0.2769958206303077</v>
      </c>
      <c r="F4" s="116">
        <f>SUMIF(销售数据!$D:$D,"F1",销售数据!$G:$G)</f>
        <v>1562938.9600000002</v>
      </c>
      <c r="G4" s="30">
        <f>IF(OR(D4=F4,AND(D4="",F4=0),AND(D4=0,F4="")),0%,IF(OR(F4="",F4=0),100%,(D4-F4)/ABS(F4)))</f>
        <v>2.3227804110788602E-2</v>
      </c>
      <c r="H4" s="276"/>
      <c r="L4" s="163"/>
    </row>
    <row r="5" spans="1:14" x14ac:dyDescent="0.15">
      <c r="B5" s="26" t="s">
        <v>4</v>
      </c>
      <c r="C5" s="61">
        <f>SUMIF(销售数据!$D:$D,"F2",销售数据!$C:$C)</f>
        <v>7289.25</v>
      </c>
      <c r="D5" s="99">
        <f>SUMIF(销售数据!$D:$D,"F2",销售数据!$H:$H)</f>
        <v>450842.80000000005</v>
      </c>
      <c r="E5" s="62">
        <f t="shared" si="0"/>
        <v>7.8087946982694001E-2</v>
      </c>
      <c r="F5" s="116">
        <f>SUMIF(销售数据!$D:$D,"F2",销售数据!$G:$G)</f>
        <v>385186.80000000005</v>
      </c>
      <c r="G5" s="30">
        <f t="shared" ref="G5:G17" si="1">IF(OR(D5=F5,AND(D5="",F5=0),AND(D5=0,F5="")),0%,IF(OR(F5="",F5=0),100%,(D5-F5)/ABS(F5)))</f>
        <v>0.17045236233432712</v>
      </c>
      <c r="H5" s="276"/>
    </row>
    <row r="6" spans="1:14" x14ac:dyDescent="0.15">
      <c r="B6" s="26" t="s">
        <v>5</v>
      </c>
      <c r="C6" s="61">
        <f>SUMIF(销售数据!$D:$D,"F3",销售数据!$C:$C)</f>
        <v>9996.1270000000004</v>
      </c>
      <c r="D6" s="99">
        <f>SUMIF(销售数据!$D:$D,"F3",销售数据!$H:$H)</f>
        <v>499887.2</v>
      </c>
      <c r="E6" s="62">
        <f t="shared" si="0"/>
        <v>8.6582651804414643E-2</v>
      </c>
      <c r="F6" s="116">
        <f>SUMIF(销售数据!$D:$D,"F3",销售数据!$G:$G)</f>
        <v>510801.9</v>
      </c>
      <c r="G6" s="30">
        <f t="shared" si="1"/>
        <v>-2.1367774865363679E-2</v>
      </c>
      <c r="H6" s="276"/>
    </row>
    <row r="7" spans="1:14" x14ac:dyDescent="0.15">
      <c r="B7" s="26" t="s">
        <v>6</v>
      </c>
      <c r="C7" s="61">
        <f>SUMIF(销售数据!$D:$D,"F4",销售数据!$C:$C)</f>
        <v>9907.6700000000019</v>
      </c>
      <c r="D7" s="99">
        <f>SUMIF(销售数据!$D:$D,"F4",销售数据!$H:$H)</f>
        <v>556219.30000000005</v>
      </c>
      <c r="E7" s="62">
        <f t="shared" si="0"/>
        <v>9.6339618175450892E-2</v>
      </c>
      <c r="F7" s="116">
        <f>SUMIF(销售数据!$D:$D,"F4",销售数据!$G:$G)</f>
        <v>516052.1</v>
      </c>
      <c r="G7" s="30">
        <f t="shared" si="1"/>
        <v>7.7835551875479372E-2</v>
      </c>
      <c r="H7" s="276"/>
    </row>
    <row r="8" spans="1:14" x14ac:dyDescent="0.15">
      <c r="B8" s="26" t="s">
        <v>7</v>
      </c>
      <c r="C8" s="61">
        <f>SUMIF(销售数据!$D:$D,"F5",销售数据!$C:$C)</f>
        <v>8519.7999999999993</v>
      </c>
      <c r="D8" s="99">
        <f>SUMIF(销售数据!$D:$D,"F5",销售数据!$H:$H)</f>
        <v>294431.78999999998</v>
      </c>
      <c r="E8" s="62">
        <f t="shared" si="0"/>
        <v>5.0996875202486747E-2</v>
      </c>
      <c r="F8" s="116">
        <f>SUMIF(销售数据!$D:$D,"F5",销售数据!$G:$G)</f>
        <v>381468.88999999996</v>
      </c>
      <c r="G8" s="30">
        <f t="shared" si="1"/>
        <v>-0.22816303578517239</v>
      </c>
      <c r="H8" s="276"/>
      <c r="K8" s="279"/>
    </row>
    <row r="9" spans="1:14" x14ac:dyDescent="0.15">
      <c r="B9" s="26" t="s">
        <v>8</v>
      </c>
      <c r="C9" s="61">
        <f>SUMIF(销售数据!$D:$D,"F6",销售数据!$C:$C)</f>
        <v>7953.6599999999989</v>
      </c>
      <c r="D9" s="99">
        <f>SUMIF(销售数据!$D:$D,"F6",销售数据!$H:$H)</f>
        <v>467031</v>
      </c>
      <c r="E9" s="62">
        <f t="shared" si="0"/>
        <v>8.0891814102996784E-2</v>
      </c>
      <c r="F9" s="116">
        <f>SUMIF(销售数据!$D:$D,"F6",销售数据!$G:$G)</f>
        <v>473650.8</v>
      </c>
      <c r="G9" s="30">
        <f t="shared" si="1"/>
        <v>-1.3976119115601596E-2</v>
      </c>
      <c r="H9" s="276"/>
      <c r="K9" s="279"/>
    </row>
    <row r="10" spans="1:14" x14ac:dyDescent="0.15">
      <c r="B10" s="26" t="s">
        <v>9</v>
      </c>
      <c r="C10" s="61">
        <f>SUMIF(销售数据!$D:$D,"F7",销售数据!$C:$C)</f>
        <v>11591.14</v>
      </c>
      <c r="D10" s="99">
        <f>SUMIF(销售数据!$D:$D,"F7",销售数据!$H:$H)</f>
        <v>382990.04999999993</v>
      </c>
      <c r="E10" s="62">
        <f t="shared" si="0"/>
        <v>6.633555358830022E-2</v>
      </c>
      <c r="F10" s="116">
        <f>SUMIF(销售数据!$D:$D,"F7",销售数据!$G:$G)</f>
        <v>426888.64999999997</v>
      </c>
      <c r="G10" s="30">
        <f>IF(OR(D10=F10,AND(D10="",F10=0),AND(D10=0,F10="")),0%,IF(OR(F10="",F10=0),100%,(D10-F10)/ABS(F10)))</f>
        <v>-0.10283384203351398</v>
      </c>
      <c r="H10" s="276"/>
      <c r="K10" s="279"/>
      <c r="L10" s="86"/>
    </row>
    <row r="11" spans="1:14" x14ac:dyDescent="0.15">
      <c r="B11" s="26" t="s">
        <v>10</v>
      </c>
      <c r="C11" s="61">
        <f>SUMIF(销售数据!$D:$D,"F8",销售数据!$C:$C)</f>
        <v>10469.819999999998</v>
      </c>
      <c r="D11" s="99">
        <f>SUMIF(销售数据!$D:$D,"F8",销售数据!$H:$H)</f>
        <v>447086.58000000007</v>
      </c>
      <c r="E11" s="62">
        <f t="shared" si="0"/>
        <v>7.7437353232022305E-2</v>
      </c>
      <c r="F11" s="116">
        <f>SUMIF(销售数据!$D:$D,"F8",销售数据!$G:$G)</f>
        <v>325052.87999999995</v>
      </c>
      <c r="G11" s="30">
        <f t="shared" si="1"/>
        <v>0.37542722279525764</v>
      </c>
      <c r="H11" s="276"/>
      <c r="K11" s="279"/>
    </row>
    <row r="12" spans="1:14" x14ac:dyDescent="0.15">
      <c r="B12" s="26" t="s">
        <v>20</v>
      </c>
      <c r="C12" s="61">
        <f>SUMIF(销售数据!$D:$D,"F9",销售数据!$C:$C)</f>
        <v>8920.24</v>
      </c>
      <c r="D12" s="99">
        <f>SUMIF(销售数据!$D:$D,"F9",销售数据!$H:$H)</f>
        <v>93922</v>
      </c>
      <c r="E12" s="62">
        <f t="shared" si="0"/>
        <v>1.6267701639038231E-2</v>
      </c>
      <c r="F12" s="116">
        <f>SUMIF(销售数据!$D:$D,"F9",销售数据!$G:$G)</f>
        <v>91961</v>
      </c>
      <c r="G12" s="30">
        <f t="shared" si="1"/>
        <v>2.1324257021998454E-2</v>
      </c>
      <c r="H12" s="276"/>
      <c r="K12" s="279"/>
    </row>
    <row r="13" spans="1:14" x14ac:dyDescent="0.15">
      <c r="B13" s="26" t="s">
        <v>22</v>
      </c>
      <c r="C13" s="61">
        <f>SUMIF(销售数据!$D:$D,"F10",销售数据!$C:$C)</f>
        <v>9374.51</v>
      </c>
      <c r="D13" s="99">
        <f>SUMIF(销售数据!$D:$D,"F10",销售数据!$H:$H)</f>
        <v>0</v>
      </c>
      <c r="E13" s="62">
        <f t="shared" si="0"/>
        <v>0</v>
      </c>
      <c r="F13" s="116">
        <f>SUMIF(销售数据!$D:$D,"F10",销售数据!$G:$G)</f>
        <v>0</v>
      </c>
      <c r="G13" s="30">
        <f t="shared" si="1"/>
        <v>0</v>
      </c>
      <c r="H13" s="276"/>
      <c r="K13" s="279"/>
    </row>
    <row r="14" spans="1:14" x14ac:dyDescent="0.15">
      <c r="B14" s="26" t="s">
        <v>23</v>
      </c>
      <c r="C14" s="61">
        <f>SUMIF(销售数据!$D:$D,"F11",销售数据!$C:$C)</f>
        <v>3152.89</v>
      </c>
      <c r="D14" s="99">
        <f>SUMIF(销售数据!$D:$D,"F11",销售数据!$H:$H)</f>
        <v>17096</v>
      </c>
      <c r="E14" s="62">
        <f t="shared" si="0"/>
        <v>2.9611020551201807E-3</v>
      </c>
      <c r="F14" s="116">
        <f>SUMIF(销售数据!$D:$D,"F11",销售数据!$G:$G)</f>
        <v>23107</v>
      </c>
      <c r="G14" s="30">
        <f t="shared" si="1"/>
        <v>-0.26013762063443979</v>
      </c>
      <c r="H14" s="276"/>
      <c r="K14" s="279"/>
    </row>
    <row r="15" spans="1:14" x14ac:dyDescent="0.15">
      <c r="B15" s="26" t="s">
        <v>11</v>
      </c>
      <c r="C15" s="61">
        <f>SUMIF(销售数据!$D:$D,"B1",销售数据!$C:$C)</f>
        <v>3945.4</v>
      </c>
      <c r="D15" s="99">
        <f>SUMIF(销售数据!$D:$D,"B1",销售数据!$H:$H)</f>
        <v>473433.60000000003</v>
      </c>
      <c r="E15" s="62">
        <f t="shared" si="0"/>
        <v>8.2000772456887319E-2</v>
      </c>
      <c r="F15" s="116">
        <f>SUMIF(销售数据!$D:$D,"B1",销售数据!$G:$G)</f>
        <v>508503.08</v>
      </c>
      <c r="G15" s="30">
        <f t="shared" si="1"/>
        <v>-6.8966111277044731E-2</v>
      </c>
      <c r="H15" s="276"/>
      <c r="K15" s="279"/>
    </row>
    <row r="16" spans="1:14" s="86" customFormat="1" x14ac:dyDescent="0.15">
      <c r="B16" s="26" t="s">
        <v>239</v>
      </c>
      <c r="C16" s="61">
        <f>SUMIF(销售数据!$D:$D,"B2",销售数据!$C:$C)</f>
        <v>11</v>
      </c>
      <c r="D16" s="99">
        <f>SUMIF(销售数据!$D:$D,"B2",销售数据!$H:$H)</f>
        <v>0</v>
      </c>
      <c r="E16" s="62">
        <f t="shared" si="0"/>
        <v>0</v>
      </c>
      <c r="F16" s="116">
        <f>SUMIF(销售数据!$D:$D,"B2",销售数据!$G:$G)</f>
        <v>0</v>
      </c>
      <c r="G16" s="30">
        <f t="shared" si="1"/>
        <v>0</v>
      </c>
      <c r="H16" s="276"/>
      <c r="K16" s="279"/>
      <c r="L16"/>
    </row>
    <row r="17" spans="2:14" x14ac:dyDescent="0.15">
      <c r="B17" s="26" t="s">
        <v>389</v>
      </c>
      <c r="C17" s="61">
        <f>SUMIF(销售数据!$D:$D,"吉之岛",销售数据!$C:$C)</f>
        <v>14537.8</v>
      </c>
      <c r="D17" s="99">
        <f>SUMIF(销售数据!$D:$D,"吉之岛",销售数据!$H:$H)</f>
        <v>491343.18</v>
      </c>
      <c r="E17" s="62">
        <f t="shared" si="0"/>
        <v>8.5102790130281047E-2</v>
      </c>
      <c r="F17" s="116">
        <f>SUMIF(销售数据!$D:$D,"吉之岛",销售数据!$G:$G)</f>
        <v>558493.4</v>
      </c>
      <c r="G17" s="30">
        <f t="shared" si="1"/>
        <v>-0.12023458110695673</v>
      </c>
      <c r="H17" s="276"/>
      <c r="K17" s="279"/>
    </row>
    <row r="18" spans="2:14" x14ac:dyDescent="0.15">
      <c r="B18" s="8" t="s">
        <v>16</v>
      </c>
      <c r="C18" s="9">
        <f>SUM(C4:C17)</f>
        <v>119359.80699999999</v>
      </c>
      <c r="D18" s="85">
        <f>SUM(D4:D17)</f>
        <v>5773526.0999999996</v>
      </c>
      <c r="E18" s="10">
        <f>SUM(E4:E17)</f>
        <v>1.0000000000000002</v>
      </c>
      <c r="F18" s="85">
        <f>SUM(F4:F17)</f>
        <v>5764105.4600000009</v>
      </c>
      <c r="G18" s="103">
        <f t="shared" ref="G18" si="2">IF(OR(D18=F18,AND(D18="",F18=0),AND(D18=0,F18="")),0%,IF(OR(F18="",F18=0),100%,D18/F18-1))</f>
        <v>1.6343628799599941E-3</v>
      </c>
      <c r="H18" s="276"/>
      <c r="K18" s="279"/>
    </row>
    <row r="19" spans="2:14" x14ac:dyDescent="0.15">
      <c r="K19" s="279"/>
    </row>
    <row r="20" spans="2:14" ht="19.5" customHeight="1" x14ac:dyDescent="0.15">
      <c r="B20" s="334" t="s">
        <v>30</v>
      </c>
      <c r="C20" s="335"/>
      <c r="D20" s="335"/>
      <c r="E20" s="335"/>
      <c r="F20" s="336"/>
      <c r="K20" s="279"/>
    </row>
    <row r="21" spans="2:14" x14ac:dyDescent="0.15">
      <c r="B21" s="12" t="s">
        <v>29</v>
      </c>
      <c r="C21" s="7" t="s">
        <v>24</v>
      </c>
      <c r="D21" s="7" t="s">
        <v>28</v>
      </c>
      <c r="E21" s="7" t="s">
        <v>27</v>
      </c>
      <c r="F21" s="13" t="s">
        <v>21</v>
      </c>
      <c r="K21" s="279"/>
    </row>
    <row r="22" spans="2:14" x14ac:dyDescent="0.15">
      <c r="B22" s="25" t="s">
        <v>19</v>
      </c>
      <c r="C22" s="150">
        <f>SUMIF(销售数据!$E:$E,"餐饮",销售数据!$H:$H)</f>
        <v>1422656.2200000002</v>
      </c>
      <c r="D22" s="111">
        <f>C22/$C$29</f>
        <v>0.2463371984027467</v>
      </c>
      <c r="E22" s="115">
        <f>SUMIF(销售数据!$E:$E,"餐饮",销售数据!$G:$G)</f>
        <v>1466560.6800000004</v>
      </c>
      <c r="F22" s="30">
        <f>IF(OR(C22=E22,AND(C22="",E22=0),AND(C22=0,E22="")),0%,IF(OR(E22="",E22=0),100%,(C22-E22)/ABS(E22)))</f>
        <v>-2.9937022449013282E-2</v>
      </c>
      <c r="K22" s="279"/>
      <c r="N22" s="279" t="s">
        <v>698</v>
      </c>
    </row>
    <row r="23" spans="2:14" x14ac:dyDescent="0.15">
      <c r="B23" s="25" t="s">
        <v>12</v>
      </c>
      <c r="C23" s="150">
        <f>SUMIF(销售数据!$E:$E,"服务",销售数据!$H:$H)</f>
        <v>61026.600000000006</v>
      </c>
      <c r="D23" s="111">
        <f t="shared" ref="D23:D28" si="3">C23/$C$29</f>
        <v>1.056693912465027E-2</v>
      </c>
      <c r="E23" s="115">
        <f>SUMIF(销售数据!$E:$E,"服务",销售数据!$G:$G)</f>
        <v>154983.6</v>
      </c>
      <c r="F23" s="30">
        <f t="shared" ref="F23:F28" si="4">IF(OR(C23=E23,AND(C23="",E23=0),AND(C23=0,E23="")),0%,IF(OR(E23="",E23=0),100%,(C23-E23)/ABS(E23)))</f>
        <v>-0.6062383374757071</v>
      </c>
      <c r="K23" s="279"/>
    </row>
    <row r="24" spans="2:14" x14ac:dyDescent="0.15">
      <c r="B24" s="25" t="s">
        <v>155</v>
      </c>
      <c r="C24" s="150">
        <f>SUMIF(销售数据!$E:$E,"零售",销售数据!$H:$H)</f>
        <v>3559306.3999999994</v>
      </c>
      <c r="D24" s="111">
        <f t="shared" si="3"/>
        <v>0.61630459594304932</v>
      </c>
      <c r="E24" s="115">
        <f>SUMIF(销售数据!$E:$E,"零售",销售数据!$G:$G)</f>
        <v>3408149.3000000007</v>
      </c>
      <c r="F24" s="30">
        <f t="shared" si="4"/>
        <v>4.435166616673708E-2</v>
      </c>
      <c r="K24" s="279"/>
    </row>
    <row r="25" spans="2:14" x14ac:dyDescent="0.15">
      <c r="B25" s="25" t="s">
        <v>13</v>
      </c>
      <c r="C25" s="150">
        <f>SUMIF(销售数据!$E:$E,"食品",销售数据!$H:$H)</f>
        <v>22852.2</v>
      </c>
      <c r="D25" s="111">
        <f t="shared" si="3"/>
        <v>3.9569270820319809E-3</v>
      </c>
      <c r="E25" s="115">
        <f>SUMIF(销售数据!$E:$E,"食品",销售数据!$G:$G)</f>
        <v>20485.18</v>
      </c>
      <c r="F25" s="30">
        <f t="shared" si="4"/>
        <v>0.11554792293746018</v>
      </c>
      <c r="K25" s="279"/>
    </row>
    <row r="26" spans="2:14" x14ac:dyDescent="0.15">
      <c r="B26" s="25" t="s">
        <v>14</v>
      </c>
      <c r="C26" s="150">
        <f>SUMIF(销售数据!$E:$E,"文化教育",销售数据!$H:$H)</f>
        <v>12602.5</v>
      </c>
      <c r="D26" s="111">
        <f t="shared" si="3"/>
        <v>2.1821607351286982E-3</v>
      </c>
      <c r="E26" s="115">
        <f>SUMIF(销售数据!$E:$E,"文化教育",销售数据!$G:$G)</f>
        <v>14507.3</v>
      </c>
      <c r="F26" s="30">
        <f t="shared" si="4"/>
        <v>-0.13129941477738788</v>
      </c>
      <c r="K26" s="279"/>
    </row>
    <row r="27" spans="2:14" x14ac:dyDescent="0.15">
      <c r="B27" s="25" t="s">
        <v>17</v>
      </c>
      <c r="C27" s="150">
        <f>SUMIF(销售数据!$E:$E,"休闲娱乐",销售数据!$H:$H)</f>
        <v>205452</v>
      </c>
      <c r="D27" s="111">
        <f t="shared" si="3"/>
        <v>3.5574631013978279E-2</v>
      </c>
      <c r="E27" s="115">
        <f>SUMIF(销售数据!$E:$E,"休闲娱乐",销售数据!$G:$G)</f>
        <v>142579</v>
      </c>
      <c r="F27" s="30">
        <f t="shared" si="4"/>
        <v>0.44096956774840612</v>
      </c>
      <c r="K27" s="279"/>
    </row>
    <row r="28" spans="2:14" x14ac:dyDescent="0.15">
      <c r="B28" s="25" t="s">
        <v>386</v>
      </c>
      <c r="C28" s="150">
        <f>SUMIF(销售数据!$E:$E,"主力店",销售数据!$H:$H)</f>
        <v>491343.18</v>
      </c>
      <c r="D28" s="111">
        <f t="shared" si="3"/>
        <v>8.5077547698414774E-2</v>
      </c>
      <c r="E28" s="115">
        <f>SUMIF(销售数据!$E:$E,"主力店",销售数据!$G:$G)</f>
        <v>558493.4</v>
      </c>
      <c r="F28" s="30">
        <f t="shared" si="4"/>
        <v>-0.12023458110695673</v>
      </c>
      <c r="K28" s="279"/>
    </row>
    <row r="29" spans="2:14" x14ac:dyDescent="0.15">
      <c r="B29" s="8" t="s">
        <v>15</v>
      </c>
      <c r="C29" s="84">
        <f>SUM(C22:C28)</f>
        <v>5775239.0999999996</v>
      </c>
      <c r="D29" s="14">
        <f>SUM(D22:D28)</f>
        <v>1</v>
      </c>
      <c r="E29" s="84">
        <f>SUM(E22:E28)</f>
        <v>5765758.4600000009</v>
      </c>
      <c r="F29" s="103">
        <f t="shared" ref="F29" si="5">IF(OR(C29=E29,AND(C29="",E29=0),AND(C29=0,E29="")),0%,IF(OR(E29="",E29=0),100%,C29/E29-1))</f>
        <v>1.6443005834827495E-3</v>
      </c>
    </row>
    <row r="31" spans="2:14" ht="19.5" customHeight="1" x14ac:dyDescent="0.15">
      <c r="B31" s="334" t="s">
        <v>158</v>
      </c>
      <c r="C31" s="337"/>
      <c r="D31" s="337"/>
      <c r="E31" s="337"/>
      <c r="F31" s="338"/>
    </row>
    <row r="32" spans="2:14" x14ac:dyDescent="0.15">
      <c r="B32" s="12"/>
      <c r="C32" s="7" t="s">
        <v>240</v>
      </c>
      <c r="D32" s="7" t="s">
        <v>241</v>
      </c>
      <c r="E32" s="7" t="s">
        <v>242</v>
      </c>
      <c r="F32" s="13" t="s">
        <v>243</v>
      </c>
      <c r="G32" s="175" t="s">
        <v>1013</v>
      </c>
    </row>
    <row r="33" spans="2:10" x14ac:dyDescent="0.15">
      <c r="B33" s="165" t="s">
        <v>156</v>
      </c>
      <c r="C33" s="166">
        <v>29395.643208399986</v>
      </c>
      <c r="D33" s="166">
        <v>193.21969999999999</v>
      </c>
      <c r="E33" s="166">
        <v>16.153500000000001</v>
      </c>
      <c r="F33" s="167">
        <v>3836</v>
      </c>
      <c r="G33" s="175">
        <v>72884</v>
      </c>
    </row>
    <row r="34" spans="2:10" x14ac:dyDescent="0.15">
      <c r="B34" s="165" t="s">
        <v>43</v>
      </c>
      <c r="C34" s="166">
        <v>25477.479557000013</v>
      </c>
      <c r="D34" s="166">
        <v>159.11670000000001</v>
      </c>
      <c r="E34" s="166">
        <v>15.305199999999999</v>
      </c>
      <c r="F34" s="167">
        <v>3836</v>
      </c>
    </row>
    <row r="35" spans="2:10" x14ac:dyDescent="0.15">
      <c r="B35" s="165" t="s">
        <v>44</v>
      </c>
      <c r="C35" s="166">
        <v>5723.884641000006</v>
      </c>
      <c r="D35" s="166">
        <v>41.353200000000001</v>
      </c>
      <c r="E35" s="166">
        <v>3.2814000000000001</v>
      </c>
      <c r="F35" s="167">
        <v>678</v>
      </c>
    </row>
    <row r="36" spans="2:10" x14ac:dyDescent="0.15">
      <c r="B36" s="165" t="s">
        <v>45</v>
      </c>
      <c r="C36" s="166"/>
      <c r="D36" s="166"/>
      <c r="E36" s="166"/>
      <c r="F36" s="167"/>
    </row>
    <row r="37" spans="2:10" x14ac:dyDescent="0.15">
      <c r="B37" s="165" t="s">
        <v>46</v>
      </c>
      <c r="C37" s="166"/>
      <c r="D37" s="166"/>
      <c r="E37" s="166"/>
      <c r="F37" s="167"/>
      <c r="G37" s="175" t="s">
        <v>744</v>
      </c>
    </row>
    <row r="38" spans="2:10" x14ac:dyDescent="0.15">
      <c r="B38" s="165" t="s">
        <v>157</v>
      </c>
      <c r="C38" s="166"/>
      <c r="D38" s="166"/>
      <c r="E38" s="166"/>
      <c r="F38" s="167"/>
      <c r="G38" s="175">
        <v>0</v>
      </c>
    </row>
    <row r="39" spans="2:10" x14ac:dyDescent="0.15">
      <c r="B39" s="165" t="s">
        <v>47</v>
      </c>
      <c r="C39" s="166"/>
      <c r="D39" s="166"/>
      <c r="E39" s="166"/>
      <c r="F39" s="167"/>
    </row>
    <row r="40" spans="2:10" x14ac:dyDescent="0.15">
      <c r="B40" s="165" t="s">
        <v>48</v>
      </c>
      <c r="C40" s="166"/>
      <c r="D40" s="166"/>
      <c r="E40" s="166"/>
      <c r="F40" s="167"/>
    </row>
    <row r="41" spans="2:10" x14ac:dyDescent="0.15">
      <c r="B41" s="165" t="s">
        <v>49</v>
      </c>
      <c r="C41" s="166"/>
      <c r="D41" s="166"/>
      <c r="E41" s="166"/>
      <c r="F41" s="167"/>
    </row>
    <row r="42" spans="2:10" x14ac:dyDescent="0.15">
      <c r="B42" s="165" t="s">
        <v>50</v>
      </c>
      <c r="C42" s="166"/>
      <c r="D42" s="166"/>
      <c r="E42" s="166"/>
      <c r="F42" s="167"/>
      <c r="H42" s="202"/>
    </row>
    <row r="43" spans="2:10" x14ac:dyDescent="0.15">
      <c r="B43" s="165" t="s">
        <v>51</v>
      </c>
      <c r="C43" s="166"/>
      <c r="D43" s="166"/>
      <c r="E43" s="166"/>
      <c r="F43" s="167"/>
    </row>
    <row r="44" spans="2:10" x14ac:dyDescent="0.15">
      <c r="B44" s="165" t="s">
        <v>52</v>
      </c>
      <c r="C44" s="166"/>
      <c r="D44" s="166"/>
      <c r="E44" s="166"/>
      <c r="F44" s="167"/>
    </row>
    <row r="45" spans="2:10" x14ac:dyDescent="0.15">
      <c r="B45" s="8" t="s">
        <v>16</v>
      </c>
      <c r="C45" s="151">
        <f>SUM(C33:C44)</f>
        <v>60597.0074064</v>
      </c>
      <c r="D45" s="151">
        <f>SUM(D33:D44)</f>
        <v>393.68960000000004</v>
      </c>
      <c r="E45" s="151">
        <f t="shared" ref="E45:F45" si="6">SUM(E33:E44)</f>
        <v>34.740099999999998</v>
      </c>
      <c r="F45" s="152">
        <f t="shared" si="6"/>
        <v>8350</v>
      </c>
    </row>
    <row r="47" spans="2:10" x14ac:dyDescent="0.15">
      <c r="B47" s="339" t="s">
        <v>528</v>
      </c>
      <c r="C47" s="340"/>
      <c r="D47" s="340"/>
      <c r="E47" s="341"/>
      <c r="J47" s="202"/>
    </row>
    <row r="48" spans="2:10" x14ac:dyDescent="0.15">
      <c r="B48" s="271" t="s">
        <v>527</v>
      </c>
      <c r="C48" s="272" t="s">
        <v>116</v>
      </c>
      <c r="D48" s="272" t="s">
        <v>163</v>
      </c>
      <c r="E48" s="273" t="s">
        <v>526</v>
      </c>
    </row>
    <row r="49" spans="2:9" x14ac:dyDescent="0.3">
      <c r="B49" s="128">
        <v>1</v>
      </c>
      <c r="C49" s="269" t="str">
        <f ca="1">INDIRECT("P2!R"&amp;MATCH(LARGE('P2'!$E$33:$E$51,其他!B49),'P2'!$E$33:$E$51,0)+32&amp;"C1",0)</f>
        <v>1F3802</v>
      </c>
      <c r="D49" s="119" t="str">
        <f ca="1">INDIRECT("P2!R"&amp;MATCH(LARGE('P2'!$E$33:$E$51,其他!B49),'P2'!$E$33:$E$51,0)+32&amp;"C2",0)</f>
        <v>APPLE</v>
      </c>
      <c r="E49" s="266">
        <f>LARGE('P2'!$E$33:$E$51,其他!B49)</f>
        <v>500000</v>
      </c>
      <c r="I49" s="1"/>
    </row>
    <row r="50" spans="2:9" x14ac:dyDescent="0.3">
      <c r="B50" s="128">
        <v>2</v>
      </c>
      <c r="C50" s="269" t="str">
        <f ca="1">INDIRECT("P2!R"&amp;MATCH(LARGE('P2'!$E$33:$E$51,其他!B50),'P2'!$E$33:$E$51,0)+32&amp;"C1",0)</f>
        <v>B1Z011</v>
      </c>
      <c r="D50" s="119" t="str">
        <f ca="1">INDIRECT("P2!R"&amp;MATCH(LARGE('P2'!$E$33:$E$51,其他!B50),'P2'!$E$33:$E$51,0)+32&amp;"C2",0)</f>
        <v>永旺超市</v>
      </c>
      <c r="E50" s="266">
        <f>LARGE('P2'!$E$33:$E$51,其他!B50)</f>
        <v>491343.18</v>
      </c>
      <c r="G50" s="86"/>
      <c r="I50" s="1"/>
    </row>
    <row r="51" spans="2:9" x14ac:dyDescent="0.3">
      <c r="B51" s="128">
        <v>3</v>
      </c>
      <c r="C51" s="269" t="str">
        <f ca="1">INDIRECT("P2!R"&amp;MATCH(LARGE('P2'!$E$33:$E$51,其他!B51),'P2'!$E$33:$E$51,0)+32&amp;"C1",0)</f>
        <v>8FZ021</v>
      </c>
      <c r="D51" s="119" t="str">
        <f ca="1">INDIRECT("P2!R"&amp;MATCH(LARGE('P2'!$E$33:$E$51,其他!B51),'P2'!$E$33:$E$51,0)+32&amp;"C2",0)</f>
        <v>金逸影院</v>
      </c>
      <c r="E51" s="266">
        <f>LARGE('P2'!$E$33:$E$51,其他!B51)</f>
        <v>153885</v>
      </c>
      <c r="G51" s="86"/>
      <c r="I51" s="1"/>
    </row>
    <row r="52" spans="2:9" x14ac:dyDescent="0.3">
      <c r="B52" s="128">
        <v>4</v>
      </c>
      <c r="C52" s="269" t="str">
        <f ca="1">INDIRECT("P2!R"&amp;MATCH(LARGE('P2'!$E$33:$E$51,其他!B52),'P2'!$E$33:$E$51,0)+32&amp;"C1",0)</f>
        <v>1F1301</v>
      </c>
      <c r="D52" s="119" t="str">
        <f ca="1">INDIRECT("P2!R"&amp;MATCH(LARGE('P2'!$E$33:$E$51,其他!B52),'P2'!$E$33:$E$51,0)+32&amp;"C2",0)</f>
        <v>SEPHORA</v>
      </c>
      <c r="E52" s="266">
        <f>LARGE('P2'!$E$33:$E$51,其他!B52)</f>
        <v>151708.79999999999</v>
      </c>
      <c r="G52" s="86"/>
      <c r="I52" s="1"/>
    </row>
    <row r="53" spans="2:9" x14ac:dyDescent="0.3">
      <c r="B53" s="128">
        <v>5</v>
      </c>
      <c r="C53" s="269" t="str">
        <f ca="1">INDIRECT("P2!R"&amp;MATCH(LARGE('P2'!$E$33:$E$51,其他!B53),'P2'!$E$33:$E$51,0)+32&amp;"C1",0)</f>
        <v>5F0101</v>
      </c>
      <c r="D53" s="119" t="str">
        <f ca="1">INDIRECT("P2!R"&amp;MATCH(LARGE('P2'!$E$33:$E$51,其他!B53),'P2'!$E$33:$E$51,0)+32&amp;"C2",0)</f>
        <v>朝阳科技广场</v>
      </c>
      <c r="E53" s="266">
        <f>LARGE('P2'!$E$33:$E$51,其他!B53)</f>
        <v>114290</v>
      </c>
      <c r="G53" s="86"/>
      <c r="I53" s="1"/>
    </row>
    <row r="54" spans="2:9" x14ac:dyDescent="0.3">
      <c r="B54" s="128">
        <v>6</v>
      </c>
      <c r="C54" s="269" t="str">
        <f ca="1">INDIRECT("P2!R"&amp;MATCH(LARGE('P2'!$E$33:$E$51,其他!B54),'P2'!$E$33:$E$51,0)+32&amp;"C1",0)</f>
        <v>3F4801</v>
      </c>
      <c r="D54" s="119" t="str">
        <f ca="1">INDIRECT("P2!R"&amp;MATCH(LARGE('P2'!$E$33:$E$51,其他!B54),'P2'!$E$33:$E$51,0)+32&amp;"C2",0)</f>
        <v>优衣库</v>
      </c>
      <c r="E54" s="266">
        <f>LARGE('P2'!$E$33:$E$51,其他!B54)</f>
        <v>111569</v>
      </c>
      <c r="G54" s="86"/>
      <c r="I54" s="1"/>
    </row>
    <row r="55" spans="2:9" x14ac:dyDescent="0.3">
      <c r="B55" s="128">
        <v>7</v>
      </c>
      <c r="C55" s="269" t="str">
        <f ca="1">INDIRECT("P2!R"&amp;MATCH(LARGE('P2'!$E$33:$E$51,其他!B55),'P2'!$E$33:$E$51,0)+32&amp;"C1",0)</f>
        <v>1F2902</v>
      </c>
      <c r="D55" s="119" t="str">
        <f ca="1">INDIRECT("P2!R"&amp;MATCH(LARGE('P2'!$E$33:$E$51,其他!B55),'P2'!$E$33:$E$51,0)+32&amp;"C2",0)</f>
        <v>MUJI</v>
      </c>
      <c r="E55" s="266">
        <f>LARGE('P2'!$E$33:$E$51,其他!B55)</f>
        <v>70502</v>
      </c>
      <c r="G55" s="86"/>
      <c r="I55" s="1"/>
    </row>
    <row r="56" spans="2:9" x14ac:dyDescent="0.3">
      <c r="B56" s="128">
        <v>8</v>
      </c>
      <c r="C56" s="269" t="str">
        <f ca="1">INDIRECT("P2!R"&amp;MATCH(LARGE('P2'!$E$33:$E$51,其他!B56),'P2'!$E$33:$E$51,0)+32&amp;"C1",0)</f>
        <v>1F1101</v>
      </c>
      <c r="D56" s="119" t="str">
        <f ca="1">INDIRECT("P2!R"&amp;MATCH(LARGE('P2'!$E$33:$E$51,其他!B56),'P2'!$E$33:$E$51,0)+32&amp;"C2",0)</f>
        <v>GAP</v>
      </c>
      <c r="E56" s="266">
        <f>LARGE('P2'!$E$33:$E$51,其他!B56)</f>
        <v>67112</v>
      </c>
      <c r="G56" s="86"/>
      <c r="I56" s="1"/>
    </row>
    <row r="57" spans="2:9" x14ac:dyDescent="0.3">
      <c r="B57" s="128">
        <v>9</v>
      </c>
      <c r="C57" s="269" t="str">
        <f ca="1">INDIRECT("P2!R"&amp;MATCH(LARGE('P2'!$E$33:$E$51,其他!B57),'P2'!$E$33:$E$51,0)+32&amp;"C1",0)</f>
        <v>7F0902</v>
      </c>
      <c r="D57" s="119" t="str">
        <f ca="1">INDIRECT("P2!R"&amp;MATCH(LARGE('P2'!$E$33:$E$51,其他!B57),'P2'!$E$33:$E$51,0)+32&amp;"C2",0)</f>
        <v>西贝</v>
      </c>
      <c r="E57" s="266">
        <f>LARGE('P2'!$E$33:$E$51,其他!B57)</f>
        <v>56065.75</v>
      </c>
      <c r="G57" s="86"/>
      <c r="I57" s="1"/>
    </row>
    <row r="58" spans="2:9" x14ac:dyDescent="0.3">
      <c r="B58" s="128">
        <v>10</v>
      </c>
      <c r="C58" s="269" t="str">
        <f ca="1">INDIRECT("P2!R"&amp;MATCH(LARGE('P2'!$E$33:$E$51,其他!B58),'P2'!$E$33:$E$51,0)+32&amp;"C1",0)</f>
        <v>8FZ031</v>
      </c>
      <c r="D58" s="119" t="str">
        <f ca="1">INDIRECT("P2!R"&amp;MATCH(LARGE('P2'!$E$33:$E$51,其他!B58),'P2'!$E$33:$E$51,0)+32&amp;"C2",0)</f>
        <v>绿茶</v>
      </c>
      <c r="E58" s="266">
        <f>LARGE('P2'!$E$33:$E$51,其他!B58)</f>
        <v>53064</v>
      </c>
      <c r="G58" s="86"/>
      <c r="I58" s="1"/>
    </row>
    <row r="59" spans="2:9" x14ac:dyDescent="0.3">
      <c r="B59" s="128">
        <v>11</v>
      </c>
      <c r="C59" s="269" t="str">
        <f ca="1">INDIRECT("P2!R"&amp;MATCH(LARGE('P2'!$E$33:$E$51,其他!B59),'P2'!$E$33:$E$51,0)+32&amp;"C1",0)</f>
        <v>9F0201</v>
      </c>
      <c r="D59" s="119" t="str">
        <f ca="1">INDIRECT("P2!R"&amp;MATCH(LARGE('P2'!$E$33:$E$51,其他!B59),'P2'!$E$33:$E$51,0)+32&amp;"C2",0)</f>
        <v>唐宫</v>
      </c>
      <c r="E59" s="266">
        <f>LARGE('P2'!$E$33:$E$51,其他!B59)</f>
        <v>28666</v>
      </c>
      <c r="G59" s="86"/>
      <c r="I59" s="1"/>
    </row>
    <row r="60" spans="2:9" x14ac:dyDescent="0.3">
      <c r="B60" s="128">
        <v>12</v>
      </c>
      <c r="C60" s="269" t="str">
        <f ca="1">INDIRECT("P2!R"&amp;MATCH(LARGE('P2'!$E$33:$E$51,其他!B60),'P2'!$E$33:$E$51,0)+32&amp;"C1",0)</f>
        <v>9F0101</v>
      </c>
      <c r="D60" s="119" t="str">
        <f ca="1">INDIRECT("P2!R"&amp;MATCH(LARGE('P2'!$E$33:$E$51,其他!B60),'P2'!$E$33:$E$51,0)+32&amp;"C2",0)</f>
        <v>金钱豹</v>
      </c>
      <c r="E60" s="266">
        <f>LARGE('P2'!$E$33:$E$51,其他!B60)</f>
        <v>27882</v>
      </c>
      <c r="G60" s="86"/>
      <c r="I60" s="1"/>
    </row>
    <row r="61" spans="2:9" x14ac:dyDescent="0.3">
      <c r="B61" s="128">
        <v>13</v>
      </c>
      <c r="C61" s="269" t="str">
        <f ca="1">INDIRECT("P2!R"&amp;MATCH(LARGE('P2'!$E$33:$E$51,其他!B61),'P2'!$E$33:$E$51,0)+32&amp;"C1",0)</f>
        <v>7F0801</v>
      </c>
      <c r="D61" s="119" t="str">
        <f ca="1">INDIRECT("P2!R"&amp;MATCH(LARGE('P2'!$E$33:$E$51,其他!B61),'P2'!$E$33:$E$51,0)+32&amp;"C2",0)</f>
        <v>便宜坊</v>
      </c>
      <c r="E61" s="266">
        <f>LARGE('P2'!$E$33:$E$51,其他!B61)</f>
        <v>26717.1</v>
      </c>
      <c r="G61" s="86"/>
      <c r="I61" s="1"/>
    </row>
    <row r="62" spans="2:9" x14ac:dyDescent="0.3">
      <c r="B62" s="128">
        <v>14</v>
      </c>
      <c r="C62" s="269" t="str">
        <f ca="1">INDIRECT("P2!R"&amp;MATCH(LARGE('P2'!$E$33:$E$51,其他!B62),'P2'!$E$33:$E$51,0)+32&amp;"C1",0)</f>
        <v>8FZ011</v>
      </c>
      <c r="D62" s="119" t="str">
        <f ca="1">INDIRECT("P2!R"&amp;MATCH(LARGE('P2'!$E$33:$E$51,其他!B62),'P2'!$E$33:$E$51,0)+32&amp;"C2",0)</f>
        <v>金银岛</v>
      </c>
      <c r="E62" s="266">
        <f>LARGE('P2'!$E$33:$E$51,其他!B62)</f>
        <v>23627</v>
      </c>
      <c r="G62" s="86"/>
      <c r="I62" s="1"/>
    </row>
    <row r="63" spans="2:9" x14ac:dyDescent="0.3">
      <c r="B63" s="128">
        <v>15</v>
      </c>
      <c r="C63" s="269" t="str">
        <f ca="1">INDIRECT("P2!R"&amp;MATCH(LARGE('P2'!$E$33:$E$51,其他!B63),'P2'!$E$33:$E$51,0)+32&amp;"C1",0)</f>
        <v>3F1101</v>
      </c>
      <c r="D63" s="119" t="str">
        <f ca="1">INDIRECT("P2!R"&amp;MATCH(LARGE('P2'!$E$33:$E$51,其他!B63),'P2'!$E$33:$E$51,0)+32&amp;"C2",0)</f>
        <v>HOLA</v>
      </c>
      <c r="E63" s="266">
        <f>LARGE('P2'!$E$33:$E$51,其他!B63)</f>
        <v>21996.5</v>
      </c>
      <c r="G63" s="86"/>
      <c r="I63" s="1"/>
    </row>
    <row r="64" spans="2:9" x14ac:dyDescent="0.3">
      <c r="B64" s="128">
        <v>16</v>
      </c>
      <c r="C64" s="269" t="str">
        <f ca="1">INDIRECT("P2!R"&amp;MATCH(LARGE('P2'!$E$33:$E$51,其他!B64),'P2'!$E$33:$E$51,0)+32&amp;"C1",0)</f>
        <v>5F1002</v>
      </c>
      <c r="D64" s="119" t="str">
        <f ca="1">INDIRECT("P2!R"&amp;MATCH(LARGE('P2'!$E$33:$E$51,其他!B64),'P2'!$E$33:$E$51,0)+32&amp;"C2",0)</f>
        <v>TOYS R US</v>
      </c>
      <c r="E64" s="266">
        <f>LARGE('P2'!$E$33:$E$51,其他!B64)</f>
        <v>17948.7</v>
      </c>
      <c r="G64" s="86"/>
      <c r="I64" s="1"/>
    </row>
    <row r="65" spans="2:9" x14ac:dyDescent="0.3">
      <c r="B65" s="128">
        <v>17</v>
      </c>
      <c r="C65" s="269" t="str">
        <f ca="1">INDIRECT("P2!R"&amp;MATCH(LARGE('P2'!$E$33:$E$51,其他!B65),'P2'!$E$33:$E$51,0)+32&amp;"C1",0)</f>
        <v>BFZ011</v>
      </c>
      <c r="D65" s="119" t="str">
        <f ca="1">INDIRECT("P2!R"&amp;MATCH(LARGE('P2'!$E$33:$E$51,其他!B65),'P2'!$E$33:$E$51,0)+32&amp;"C2",0)</f>
        <v>歌友汇</v>
      </c>
      <c r="E65" s="266">
        <f>LARGE('P2'!$E$33:$E$51,其他!B65)</f>
        <v>17096</v>
      </c>
      <c r="G65" s="86"/>
      <c r="I65" s="1"/>
    </row>
    <row r="66" spans="2:9" s="86" customFormat="1" x14ac:dyDescent="0.3">
      <c r="B66" s="128">
        <v>18</v>
      </c>
      <c r="C66" s="269" t="str">
        <f ca="1">INDIRECT("P2!R"&amp;MATCH(LARGE('P2'!$E$33:$E$51,其他!B66),'P2'!$E$33:$E$51,0)+32&amp;"C1",0)</f>
        <v>7FZ011</v>
      </c>
      <c r="D66" s="119" t="str">
        <f ca="1">INDIRECT("P2!R"&amp;MATCH(LARGE('P2'!$E$33:$E$51,其他!B66),'P2'!$E$33:$E$51,0)+32&amp;"C2",0)</f>
        <v>冠军冰场</v>
      </c>
      <c r="E66" s="266">
        <f>LARGE('P2'!$E$33:$E$51,其他!B66)</f>
        <v>9824</v>
      </c>
      <c r="I66" s="1"/>
    </row>
    <row r="67" spans="2:9" x14ac:dyDescent="0.3">
      <c r="B67" s="267">
        <v>19</v>
      </c>
      <c r="C67" s="270" t="e">
        <f ca="1">INDIRECT("P2!R"&amp;MATCH(LARGE('P2'!$E$33:$E$51,其他!B67),'P2'!$E$33:$E$51,0)+32&amp;"C1",0)</f>
        <v>#NUM!</v>
      </c>
      <c r="D67" s="125" t="e">
        <f ca="1">INDIRECT("P2!R"&amp;MATCH(LARGE('P2'!$E$33:$E$51,其他!B67),'P2'!$E$33:$E$51,0)+32&amp;"C2",0)</f>
        <v>#NUM!</v>
      </c>
      <c r="E67" s="268" t="e">
        <f>LARGE('P2'!$E$33:$E$51,其他!B67)</f>
        <v>#NUM!</v>
      </c>
      <c r="G67" s="86"/>
      <c r="I67" s="1"/>
    </row>
  </sheetData>
  <mergeCells count="4">
    <mergeCell ref="B2:G2"/>
    <mergeCell ref="B20:F20"/>
    <mergeCell ref="B31:F31"/>
    <mergeCell ref="B47:E47"/>
  </mergeCells>
  <phoneticPr fontId="40" type="noConversion"/>
  <conditionalFormatting sqref="G3">
    <cfRule type="iconSet" priority="2">
      <iconSet iconSet="3Arrows">
        <cfvo type="percent" val="0"/>
        <cfvo type="num" val="-1E-4"/>
        <cfvo type="num" val="0" gte="0"/>
      </iconSet>
    </cfRule>
  </conditionalFormatting>
  <conditionalFormatting sqref="G4:G18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22:F29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E49:E67">
    <cfRule type="dataBar" priority="9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{B3C9C059-1269-4372-A46C-C215168431E7}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70" r:id="rId4" name="Button 6">
              <controlPr defaultSize="0" print="0" autoFill="0" autoPict="0" macro="[0]!更新日报数据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485775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C9C059-1269-4372-A46C-C215168431E7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E49:E67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625"/>
  <sheetViews>
    <sheetView workbookViewId="0">
      <pane ySplit="1" topLeftCell="A321" activePane="bottomLeft" state="frozen"/>
      <selection activeCell="L9" sqref="L9"/>
      <selection pane="bottomLeft" activeCell="H328" sqref="H328"/>
    </sheetView>
  </sheetViews>
  <sheetFormatPr defaultRowHeight="14.25" x14ac:dyDescent="0.15"/>
  <cols>
    <col min="2" max="2" width="27.625" customWidth="1"/>
    <col min="3" max="3" width="10.5" style="204" bestFit="1" customWidth="1"/>
    <col min="7" max="7" width="14.125" style="204" customWidth="1"/>
    <col min="8" max="8" width="14.25" style="204" customWidth="1"/>
    <col min="9" max="9" width="13.875" style="204" bestFit="1" customWidth="1"/>
    <col min="10" max="10" width="6.875" style="210" customWidth="1"/>
    <col min="11" max="11" width="12.75" style="275" customWidth="1"/>
    <col min="12" max="12" width="12.75" style="203" bestFit="1" customWidth="1"/>
  </cols>
  <sheetData>
    <row r="1" spans="1:12" x14ac:dyDescent="0.15">
      <c r="A1" s="205" t="s">
        <v>116</v>
      </c>
      <c r="B1" s="205" t="s">
        <v>163</v>
      </c>
      <c r="C1" s="207" t="s">
        <v>164</v>
      </c>
      <c r="D1" s="205" t="s">
        <v>2</v>
      </c>
      <c r="E1" s="205" t="s">
        <v>165</v>
      </c>
      <c r="F1" s="205" t="s">
        <v>166</v>
      </c>
      <c r="G1" s="206">
        <v>42429</v>
      </c>
      <c r="H1" s="206">
        <v>42436</v>
      </c>
      <c r="I1" s="207" t="s">
        <v>1914</v>
      </c>
      <c r="J1" s="209" t="s">
        <v>167</v>
      </c>
      <c r="K1" s="274" t="s">
        <v>537</v>
      </c>
      <c r="L1" s="208"/>
    </row>
    <row r="2" spans="1:12" x14ac:dyDescent="0.15">
      <c r="A2" s="86" t="s">
        <v>176</v>
      </c>
      <c r="B2" s="86" t="s">
        <v>386</v>
      </c>
      <c r="C2" s="204">
        <v>14537.8</v>
      </c>
      <c r="D2" s="86" t="s">
        <v>1171</v>
      </c>
      <c r="E2" s="86" t="s">
        <v>1172</v>
      </c>
      <c r="F2" s="86" t="s">
        <v>1173</v>
      </c>
      <c r="G2" s="204">
        <v>558493.4</v>
      </c>
      <c r="H2" s="204">
        <v>491343.18</v>
      </c>
      <c r="I2" s="204">
        <v>4531300.8500000006</v>
      </c>
      <c r="J2" s="210">
        <v>1</v>
      </c>
      <c r="K2" s="275">
        <v>-236.15229895771387</v>
      </c>
      <c r="L2" s="287"/>
    </row>
    <row r="3" spans="1:12" x14ac:dyDescent="0.15">
      <c r="A3" s="86" t="s">
        <v>181</v>
      </c>
      <c r="B3" s="86" t="s">
        <v>1174</v>
      </c>
      <c r="C3" s="204">
        <v>1805.62</v>
      </c>
      <c r="D3" s="86" t="s">
        <v>265</v>
      </c>
      <c r="E3" s="86" t="s">
        <v>1175</v>
      </c>
      <c r="F3" s="86" t="s">
        <v>1154</v>
      </c>
      <c r="G3" s="204">
        <v>59195.6</v>
      </c>
      <c r="H3" s="204">
        <v>67112</v>
      </c>
      <c r="I3" s="204">
        <v>689555</v>
      </c>
      <c r="J3" s="210">
        <v>245</v>
      </c>
      <c r="K3" s="275">
        <v>-163.78623312066526</v>
      </c>
      <c r="L3" s="287"/>
    </row>
    <row r="4" spans="1:12" x14ac:dyDescent="0.15">
      <c r="A4" s="86" t="s">
        <v>182</v>
      </c>
      <c r="B4" s="86" t="s">
        <v>1176</v>
      </c>
      <c r="C4" s="204">
        <v>386.01</v>
      </c>
      <c r="D4" s="86" t="s">
        <v>265</v>
      </c>
      <c r="E4" s="86" t="s">
        <v>1175</v>
      </c>
      <c r="F4" s="86" t="s">
        <v>1177</v>
      </c>
      <c r="G4" s="204">
        <v>108125</v>
      </c>
      <c r="H4" s="204">
        <v>151708.79999999999</v>
      </c>
      <c r="I4" s="204">
        <v>1046782.1000000001</v>
      </c>
      <c r="J4" s="210">
        <v>275</v>
      </c>
      <c r="K4" s="275">
        <v>-72.189463386352145</v>
      </c>
      <c r="L4" s="287"/>
    </row>
    <row r="5" spans="1:12" x14ac:dyDescent="0.15">
      <c r="A5" s="86" t="s">
        <v>324</v>
      </c>
      <c r="B5" s="86" t="s">
        <v>1178</v>
      </c>
      <c r="C5" s="204">
        <v>747.79</v>
      </c>
      <c r="D5" s="86" t="s">
        <v>265</v>
      </c>
      <c r="E5" s="86" t="s">
        <v>1175</v>
      </c>
      <c r="F5" s="86" t="s">
        <v>384</v>
      </c>
      <c r="G5" s="204">
        <v>70471</v>
      </c>
      <c r="H5" s="204">
        <v>70502</v>
      </c>
      <c r="I5" s="204">
        <v>694102</v>
      </c>
      <c r="J5" s="210">
        <v>471</v>
      </c>
      <c r="K5" s="275">
        <v>-570.31075331599163</v>
      </c>
      <c r="L5" s="287"/>
    </row>
    <row r="6" spans="1:12" x14ac:dyDescent="0.15">
      <c r="A6" s="86" t="s">
        <v>194</v>
      </c>
      <c r="B6" s="86" t="s">
        <v>1179</v>
      </c>
      <c r="C6" s="204">
        <v>1370.54</v>
      </c>
      <c r="D6" s="86" t="s">
        <v>236</v>
      </c>
      <c r="E6" s="86" t="s">
        <v>1175</v>
      </c>
      <c r="F6" s="86" t="s">
        <v>384</v>
      </c>
      <c r="G6" s="204">
        <v>30637.1</v>
      </c>
      <c r="H6" s="204">
        <v>21996.5</v>
      </c>
      <c r="I6" s="204">
        <v>260547.5</v>
      </c>
      <c r="J6" s="210">
        <v>146</v>
      </c>
      <c r="K6" s="275">
        <v>-149.15906152790325</v>
      </c>
      <c r="L6" s="287"/>
    </row>
    <row r="7" spans="1:12" x14ac:dyDescent="0.15">
      <c r="A7" s="86" t="s">
        <v>1003</v>
      </c>
      <c r="B7" s="86" t="s">
        <v>1180</v>
      </c>
      <c r="C7" s="204">
        <v>1905</v>
      </c>
      <c r="D7" s="86" t="s">
        <v>236</v>
      </c>
      <c r="E7" s="86" t="s">
        <v>1175</v>
      </c>
      <c r="F7" s="86" t="s">
        <v>1154</v>
      </c>
      <c r="G7" s="204">
        <v>74615</v>
      </c>
      <c r="H7" s="204">
        <v>111569</v>
      </c>
      <c r="I7" s="204">
        <v>1395384</v>
      </c>
      <c r="J7" s="210">
        <v>499</v>
      </c>
      <c r="K7" s="275">
        <v>-930.38483424564492</v>
      </c>
      <c r="L7" s="287"/>
    </row>
    <row r="8" spans="1:12" x14ac:dyDescent="0.15">
      <c r="A8" s="86" t="s">
        <v>169</v>
      </c>
      <c r="B8" s="86" t="s">
        <v>1181</v>
      </c>
      <c r="C8" s="204">
        <v>2000.83</v>
      </c>
      <c r="D8" s="86" t="s">
        <v>260</v>
      </c>
      <c r="E8" s="86" t="s">
        <v>1175</v>
      </c>
      <c r="F8" s="86" t="s">
        <v>1182</v>
      </c>
      <c r="G8" s="204">
        <v>102022</v>
      </c>
      <c r="H8" s="204">
        <v>114290</v>
      </c>
      <c r="I8" s="204">
        <v>1232707</v>
      </c>
      <c r="J8" s="210">
        <v>49</v>
      </c>
      <c r="K8" s="275">
        <v>-1001.4513810761861</v>
      </c>
      <c r="L8" s="287"/>
    </row>
    <row r="9" spans="1:12" x14ac:dyDescent="0.15">
      <c r="A9" s="86" t="s">
        <v>300</v>
      </c>
      <c r="B9" s="86" t="s">
        <v>1183</v>
      </c>
      <c r="C9" s="204">
        <v>1299.53</v>
      </c>
      <c r="D9" s="86" t="s">
        <v>260</v>
      </c>
      <c r="E9" s="86" t="s">
        <v>1175</v>
      </c>
      <c r="F9" s="86" t="s">
        <v>384</v>
      </c>
      <c r="G9" s="204">
        <v>26217.599999999999</v>
      </c>
      <c r="H9" s="204">
        <v>17948.7</v>
      </c>
      <c r="I9" s="204">
        <v>362772.95</v>
      </c>
      <c r="J9" s="210">
        <v>121</v>
      </c>
      <c r="K9" s="275">
        <v>-15.119753776928269</v>
      </c>
      <c r="L9" s="287"/>
    </row>
    <row r="10" spans="1:12" x14ac:dyDescent="0.15">
      <c r="A10" s="86" t="s">
        <v>224</v>
      </c>
      <c r="B10" s="86" t="s">
        <v>1184</v>
      </c>
      <c r="C10" s="204">
        <v>1339.32</v>
      </c>
      <c r="D10" s="86" t="s">
        <v>261</v>
      </c>
      <c r="E10" s="86" t="s">
        <v>1185</v>
      </c>
      <c r="F10" s="86" t="s">
        <v>1186</v>
      </c>
      <c r="G10" s="204">
        <v>23657.5</v>
      </c>
      <c r="H10" s="204">
        <v>26717.1</v>
      </c>
      <c r="I10" s="204">
        <v>319662.69999999995</v>
      </c>
      <c r="J10" s="210">
        <v>104</v>
      </c>
      <c r="K10" s="275">
        <v>-102.21046811897172</v>
      </c>
      <c r="L10" s="287"/>
    </row>
    <row r="11" spans="1:12" x14ac:dyDescent="0.15">
      <c r="A11" s="86" t="s">
        <v>342</v>
      </c>
      <c r="B11" s="86" t="s">
        <v>1187</v>
      </c>
      <c r="C11" s="204">
        <v>1020</v>
      </c>
      <c r="D11" s="86" t="s">
        <v>261</v>
      </c>
      <c r="E11" s="86" t="s">
        <v>1185</v>
      </c>
      <c r="F11" s="86" t="s">
        <v>1186</v>
      </c>
      <c r="G11" s="204">
        <v>56706.21</v>
      </c>
      <c r="H11" s="204">
        <v>56065.75</v>
      </c>
      <c r="I11" s="204">
        <v>581037.94999999995</v>
      </c>
      <c r="J11" s="210">
        <v>346</v>
      </c>
      <c r="K11" s="275">
        <v>-1147.3916050602281</v>
      </c>
      <c r="L11" s="287"/>
    </row>
    <row r="12" spans="1:12" x14ac:dyDescent="0.15">
      <c r="A12" s="86" t="s">
        <v>170</v>
      </c>
      <c r="B12" s="86" t="s">
        <v>1188</v>
      </c>
      <c r="C12" s="204">
        <v>3045.33</v>
      </c>
      <c r="D12" s="86" t="s">
        <v>261</v>
      </c>
      <c r="E12" s="86" t="s">
        <v>1189</v>
      </c>
      <c r="F12" s="86" t="s">
        <v>1189</v>
      </c>
      <c r="G12" s="204">
        <v>42190</v>
      </c>
      <c r="H12" s="204">
        <v>9824</v>
      </c>
      <c r="I12" s="204">
        <v>249972</v>
      </c>
      <c r="J12" s="210">
        <v>13</v>
      </c>
      <c r="K12" s="275">
        <v>-28.717518785827821</v>
      </c>
      <c r="L12" s="287"/>
    </row>
    <row r="13" spans="1:12" x14ac:dyDescent="0.15">
      <c r="A13" s="86" t="s">
        <v>171</v>
      </c>
      <c r="B13" s="86" t="s">
        <v>1190</v>
      </c>
      <c r="C13" s="204">
        <v>1303.8599999999999</v>
      </c>
      <c r="D13" s="86" t="s">
        <v>262</v>
      </c>
      <c r="E13" s="86" t="s">
        <v>1189</v>
      </c>
      <c r="F13" s="86" t="s">
        <v>1189</v>
      </c>
      <c r="G13" s="204">
        <v>21107</v>
      </c>
      <c r="H13" s="204">
        <v>23627</v>
      </c>
      <c r="I13" s="204">
        <v>284986</v>
      </c>
      <c r="J13" s="210">
        <v>381</v>
      </c>
      <c r="K13" s="275">
        <v>-94.951815308142713</v>
      </c>
      <c r="L13" s="287"/>
    </row>
    <row r="14" spans="1:12" ht="15" customHeight="1" x14ac:dyDescent="0.15">
      <c r="A14" s="86" t="s">
        <v>1705</v>
      </c>
      <c r="B14" s="199" t="s">
        <v>1701</v>
      </c>
      <c r="C14" s="204">
        <v>827</v>
      </c>
      <c r="D14" s="86" t="s">
        <v>265</v>
      </c>
      <c r="E14" s="86" t="s">
        <v>1175</v>
      </c>
      <c r="F14" s="86" t="s">
        <v>1182</v>
      </c>
      <c r="G14" s="204">
        <v>500000</v>
      </c>
      <c r="H14" s="204">
        <v>500000</v>
      </c>
      <c r="I14" s="204">
        <v>4890000</v>
      </c>
      <c r="J14" s="210">
        <v>1</v>
      </c>
      <c r="K14" s="275">
        <v>-200</v>
      </c>
      <c r="L14" s="287"/>
    </row>
    <row r="15" spans="1:12" x14ac:dyDescent="0.15">
      <c r="A15" s="86" t="s">
        <v>172</v>
      </c>
      <c r="B15" s="86" t="s">
        <v>1191</v>
      </c>
      <c r="C15" s="204">
        <v>4886.24</v>
      </c>
      <c r="D15" s="86" t="s">
        <v>262</v>
      </c>
      <c r="E15" s="86" t="s">
        <v>1189</v>
      </c>
      <c r="F15" s="86" t="s">
        <v>1189</v>
      </c>
      <c r="G15" s="204">
        <v>55920</v>
      </c>
      <c r="H15" s="204">
        <v>153885</v>
      </c>
      <c r="I15" s="204">
        <v>1323810</v>
      </c>
      <c r="J15" s="210">
        <v>2135</v>
      </c>
      <c r="K15" s="275">
        <v>-367.30528164779867</v>
      </c>
      <c r="L15" s="287"/>
    </row>
    <row r="16" spans="1:12" x14ac:dyDescent="0.15">
      <c r="A16" s="86" t="s">
        <v>343</v>
      </c>
      <c r="B16" s="86" t="s">
        <v>1192</v>
      </c>
      <c r="C16" s="204">
        <v>1061.92</v>
      </c>
      <c r="D16" s="86" t="s">
        <v>262</v>
      </c>
      <c r="E16" s="86" t="s">
        <v>1185</v>
      </c>
      <c r="F16" s="86" t="s">
        <v>1186</v>
      </c>
      <c r="G16" s="204">
        <v>52940</v>
      </c>
      <c r="H16" s="204">
        <v>53064</v>
      </c>
      <c r="I16" s="204">
        <v>468956</v>
      </c>
      <c r="J16" s="210">
        <v>344</v>
      </c>
      <c r="K16" s="275">
        <v>-1065.0454666929538</v>
      </c>
      <c r="L16" s="287"/>
    </row>
    <row r="17" spans="1:12" x14ac:dyDescent="0.15">
      <c r="A17" s="86" t="s">
        <v>173</v>
      </c>
      <c r="B17" s="86" t="s">
        <v>1193</v>
      </c>
      <c r="C17" s="204">
        <v>4996.6400000000003</v>
      </c>
      <c r="D17" s="86" t="s">
        <v>263</v>
      </c>
      <c r="E17" s="86" t="s">
        <v>1185</v>
      </c>
      <c r="F17" s="86" t="s">
        <v>1186</v>
      </c>
      <c r="G17" s="204">
        <v>11097</v>
      </c>
      <c r="H17" s="204">
        <v>27882</v>
      </c>
      <c r="I17" s="204">
        <v>279445</v>
      </c>
      <c r="J17" s="210">
        <v>2</v>
      </c>
      <c r="K17" s="275">
        <v>-35.2976725783777</v>
      </c>
      <c r="L17" s="287"/>
    </row>
    <row r="18" spans="1:12" x14ac:dyDescent="0.15">
      <c r="A18" s="86" t="s">
        <v>174</v>
      </c>
      <c r="B18" s="86" t="s">
        <v>1194</v>
      </c>
      <c r="C18" s="204">
        <v>2666</v>
      </c>
      <c r="D18" s="86" t="s">
        <v>263</v>
      </c>
      <c r="E18" s="86" t="s">
        <v>1185</v>
      </c>
      <c r="F18" s="86" t="s">
        <v>1186</v>
      </c>
      <c r="G18" s="204">
        <v>37350</v>
      </c>
      <c r="H18" s="204">
        <v>28666</v>
      </c>
      <c r="I18" s="204">
        <v>485909</v>
      </c>
      <c r="J18" s="210">
        <v>91</v>
      </c>
      <c r="K18" s="275">
        <v>-18.122081815999415</v>
      </c>
      <c r="L18" s="287"/>
    </row>
    <row r="19" spans="1:12" x14ac:dyDescent="0.15">
      <c r="A19" s="86" t="s">
        <v>175</v>
      </c>
      <c r="B19" s="86" t="s">
        <v>1195</v>
      </c>
      <c r="C19" s="204">
        <v>6883.53</v>
      </c>
      <c r="D19" s="86" t="s">
        <v>264</v>
      </c>
      <c r="E19" s="86" t="s">
        <v>1196</v>
      </c>
      <c r="F19" s="86" t="s">
        <v>1197</v>
      </c>
      <c r="L19" s="287"/>
    </row>
    <row r="20" spans="1:12" x14ac:dyDescent="0.15">
      <c r="A20" s="86" t="s">
        <v>177</v>
      </c>
      <c r="B20" s="86" t="s">
        <v>1198</v>
      </c>
      <c r="C20" s="204">
        <v>3152.89</v>
      </c>
      <c r="D20" s="86" t="s">
        <v>1199</v>
      </c>
      <c r="E20" s="86" t="s">
        <v>1189</v>
      </c>
      <c r="F20" s="86" t="s">
        <v>1189</v>
      </c>
      <c r="G20" s="204">
        <v>23107</v>
      </c>
      <c r="H20" s="204">
        <v>17096</v>
      </c>
      <c r="I20" s="204">
        <v>215330</v>
      </c>
      <c r="J20" s="210">
        <v>93</v>
      </c>
      <c r="K20" s="275">
        <v>-30.22537863305541</v>
      </c>
      <c r="L20" s="287"/>
    </row>
    <row r="21" spans="1:12" x14ac:dyDescent="0.15">
      <c r="A21" s="86" t="s">
        <v>1087</v>
      </c>
      <c r="B21" s="86" t="s">
        <v>1201</v>
      </c>
      <c r="C21" s="204">
        <v>90.58</v>
      </c>
      <c r="D21" s="86" t="s">
        <v>11</v>
      </c>
      <c r="E21" s="86" t="s">
        <v>1175</v>
      </c>
      <c r="F21" s="86" t="s">
        <v>1154</v>
      </c>
      <c r="G21" s="204">
        <v>9020.5</v>
      </c>
      <c r="H21" s="204">
        <v>11917.1</v>
      </c>
      <c r="I21" s="204">
        <v>90861</v>
      </c>
      <c r="J21" s="210">
        <v>65</v>
      </c>
      <c r="K21" s="275">
        <v>-3115.4745422272335</v>
      </c>
      <c r="L21" s="287"/>
    </row>
    <row r="22" spans="1:12" x14ac:dyDescent="0.15">
      <c r="A22" s="86" t="s">
        <v>756</v>
      </c>
      <c r="B22" s="86" t="s">
        <v>1202</v>
      </c>
      <c r="C22" s="204">
        <v>35.65</v>
      </c>
      <c r="D22" s="86" t="s">
        <v>11</v>
      </c>
      <c r="E22" s="86" t="s">
        <v>1175</v>
      </c>
      <c r="F22" s="86" t="s">
        <v>1177</v>
      </c>
      <c r="G22" s="204">
        <v>1143</v>
      </c>
      <c r="H22" s="204">
        <v>5055</v>
      </c>
      <c r="I22" s="204">
        <v>39173</v>
      </c>
      <c r="J22" s="210">
        <v>11</v>
      </c>
      <c r="K22" s="275">
        <v>-178.5957647709412</v>
      </c>
      <c r="L22" s="287"/>
    </row>
    <row r="23" spans="1:12" x14ac:dyDescent="0.15">
      <c r="A23" s="86" t="s">
        <v>1039</v>
      </c>
      <c r="B23" s="86" t="s">
        <v>1203</v>
      </c>
      <c r="C23" s="204">
        <v>31.21</v>
      </c>
      <c r="D23" s="86" t="s">
        <v>11</v>
      </c>
      <c r="E23" s="86" t="s">
        <v>1175</v>
      </c>
      <c r="F23" s="86" t="s">
        <v>1204</v>
      </c>
      <c r="G23" s="204">
        <v>11608</v>
      </c>
      <c r="H23" s="204">
        <v>14066</v>
      </c>
      <c r="I23" s="204">
        <v>75247</v>
      </c>
      <c r="J23" s="210">
        <v>15</v>
      </c>
      <c r="K23" s="275">
        <v>44.291638014867964</v>
      </c>
      <c r="L23" s="287"/>
    </row>
    <row r="24" spans="1:12" x14ac:dyDescent="0.15">
      <c r="A24" s="86" t="s">
        <v>552</v>
      </c>
      <c r="B24" s="86" t="s">
        <v>1205</v>
      </c>
      <c r="C24" s="204">
        <v>51.68</v>
      </c>
      <c r="D24" s="86" t="s">
        <v>11</v>
      </c>
      <c r="E24" s="86" t="s">
        <v>1175</v>
      </c>
      <c r="F24" s="86" t="s">
        <v>384</v>
      </c>
      <c r="G24" s="204">
        <v>3602.9</v>
      </c>
      <c r="H24" s="204">
        <v>6168.1</v>
      </c>
      <c r="I24" s="204">
        <v>38618.899999999994</v>
      </c>
      <c r="J24" s="210">
        <v>65</v>
      </c>
      <c r="K24" s="275">
        <v>-7.6872772597140093</v>
      </c>
      <c r="L24" s="287"/>
    </row>
    <row r="25" spans="1:12" x14ac:dyDescent="0.15">
      <c r="A25" s="86" t="s">
        <v>914</v>
      </c>
      <c r="B25" s="86" t="s">
        <v>1206</v>
      </c>
      <c r="C25" s="204">
        <v>46.85</v>
      </c>
      <c r="D25" s="86" t="s">
        <v>11</v>
      </c>
      <c r="E25" s="86" t="s">
        <v>1175</v>
      </c>
      <c r="F25" s="86" t="s">
        <v>384</v>
      </c>
      <c r="G25" s="204">
        <v>12144</v>
      </c>
      <c r="H25" s="204">
        <v>12521</v>
      </c>
      <c r="I25" s="204">
        <v>105808</v>
      </c>
      <c r="J25" s="210">
        <v>26</v>
      </c>
      <c r="K25" s="275">
        <v>-2809.2937605703783</v>
      </c>
      <c r="L25" s="287"/>
    </row>
    <row r="26" spans="1:12" x14ac:dyDescent="0.15">
      <c r="A26" s="86" t="s">
        <v>1721</v>
      </c>
      <c r="B26" s="86" t="s">
        <v>1722</v>
      </c>
      <c r="C26" s="204">
        <v>80</v>
      </c>
      <c r="D26" s="86" t="s">
        <v>11</v>
      </c>
      <c r="E26" s="86" t="s">
        <v>1175</v>
      </c>
      <c r="F26" s="86" t="s">
        <v>384</v>
      </c>
      <c r="G26" s="204">
        <v>9369.1</v>
      </c>
      <c r="H26" s="204">
        <v>6069.8</v>
      </c>
      <c r="I26" s="204">
        <v>67179</v>
      </c>
      <c r="J26" s="210">
        <v>19</v>
      </c>
      <c r="K26" s="275">
        <v>-67.72299014950805</v>
      </c>
      <c r="L26" s="287"/>
    </row>
    <row r="27" spans="1:12" x14ac:dyDescent="0.15">
      <c r="A27" s="86" t="s">
        <v>249</v>
      </c>
      <c r="B27" s="199" t="s">
        <v>1207</v>
      </c>
      <c r="C27" s="204">
        <v>42.06</v>
      </c>
      <c r="D27" s="86" t="s">
        <v>11</v>
      </c>
      <c r="E27" s="86" t="s">
        <v>1208</v>
      </c>
      <c r="F27" s="86" t="s">
        <v>1209</v>
      </c>
      <c r="G27" s="204">
        <v>11790</v>
      </c>
      <c r="H27" s="204">
        <v>3940</v>
      </c>
      <c r="I27" s="204">
        <v>48315</v>
      </c>
      <c r="J27" s="210">
        <v>3</v>
      </c>
      <c r="K27" s="275">
        <v>-1842.8862351308417</v>
      </c>
      <c r="L27" s="287"/>
    </row>
    <row r="28" spans="1:12" x14ac:dyDescent="0.15">
      <c r="A28" s="86" t="s">
        <v>1116</v>
      </c>
      <c r="B28" s="86" t="s">
        <v>1210</v>
      </c>
      <c r="C28" s="204">
        <v>19</v>
      </c>
      <c r="D28" s="86" t="s">
        <v>11</v>
      </c>
      <c r="E28" s="86" t="s">
        <v>1175</v>
      </c>
      <c r="F28" s="86" t="s">
        <v>1177</v>
      </c>
      <c r="G28" s="204">
        <v>2435.9</v>
      </c>
      <c r="H28" s="204">
        <v>4524.8999999999996</v>
      </c>
      <c r="I28" s="204">
        <v>20932.900000000001</v>
      </c>
      <c r="J28" s="210">
        <v>9</v>
      </c>
      <c r="K28" s="275">
        <v>-930.09297686481693</v>
      </c>
      <c r="L28" s="287"/>
    </row>
    <row r="29" spans="1:12" x14ac:dyDescent="0.15">
      <c r="A29" s="86" t="s">
        <v>258</v>
      </c>
      <c r="B29" s="86" t="s">
        <v>1212</v>
      </c>
      <c r="C29" s="204">
        <v>176.7</v>
      </c>
      <c r="D29" s="86" t="s">
        <v>11</v>
      </c>
      <c r="E29" s="86" t="s">
        <v>1208</v>
      </c>
      <c r="F29" s="86" t="s">
        <v>1209</v>
      </c>
      <c r="G29" s="204">
        <v>8055</v>
      </c>
      <c r="H29" s="204">
        <v>10531</v>
      </c>
      <c r="I29" s="204">
        <v>87934</v>
      </c>
      <c r="J29" s="210">
        <v>28</v>
      </c>
      <c r="K29" s="275">
        <v>-88.80649496422626</v>
      </c>
      <c r="L29" s="287"/>
    </row>
    <row r="30" spans="1:12" x14ac:dyDescent="0.15">
      <c r="A30" s="86" t="s">
        <v>320</v>
      </c>
      <c r="B30" s="86" t="s">
        <v>1213</v>
      </c>
      <c r="C30" s="204">
        <v>120</v>
      </c>
      <c r="D30" s="86" t="s">
        <v>11</v>
      </c>
      <c r="E30" s="86" t="s">
        <v>1175</v>
      </c>
      <c r="F30" s="86" t="s">
        <v>1189</v>
      </c>
      <c r="G30" s="204">
        <v>13040</v>
      </c>
      <c r="H30" s="204">
        <v>14120</v>
      </c>
      <c r="I30" s="204">
        <v>92960</v>
      </c>
      <c r="J30" s="210">
        <v>7</v>
      </c>
      <c r="K30" s="275">
        <v>38.399920356646831</v>
      </c>
      <c r="L30" s="287"/>
    </row>
    <row r="31" spans="1:12" x14ac:dyDescent="0.15">
      <c r="A31" s="86" t="s">
        <v>1622</v>
      </c>
      <c r="B31" s="86" t="s">
        <v>1625</v>
      </c>
      <c r="C31" s="204">
        <v>78.430000000000007</v>
      </c>
      <c r="D31" s="86" t="s">
        <v>11</v>
      </c>
      <c r="E31" s="86" t="s">
        <v>1175</v>
      </c>
      <c r="F31" s="86" t="s">
        <v>1173</v>
      </c>
      <c r="G31" s="204">
        <v>4303</v>
      </c>
      <c r="H31" s="204">
        <v>5246</v>
      </c>
      <c r="I31" s="204">
        <v>83283</v>
      </c>
      <c r="J31" s="210">
        <v>66</v>
      </c>
      <c r="K31" s="275">
        <v>-163.16876792616384</v>
      </c>
      <c r="L31" s="287"/>
    </row>
    <row r="32" spans="1:12" x14ac:dyDescent="0.15">
      <c r="A32" s="86" t="s">
        <v>314</v>
      </c>
      <c r="B32" s="86" t="s">
        <v>1214</v>
      </c>
      <c r="C32" s="204">
        <v>88.82</v>
      </c>
      <c r="D32" s="86" t="s">
        <v>11</v>
      </c>
      <c r="E32" s="86" t="s">
        <v>1185</v>
      </c>
      <c r="F32" s="86" t="s">
        <v>385</v>
      </c>
      <c r="G32" s="204">
        <v>7133.4</v>
      </c>
      <c r="H32" s="204">
        <v>6927.2</v>
      </c>
      <c r="I32" s="204">
        <v>54164.799999999996</v>
      </c>
      <c r="J32" s="210">
        <v>238</v>
      </c>
      <c r="K32" s="275">
        <v>-176.6099186554421</v>
      </c>
      <c r="L32" s="287"/>
    </row>
    <row r="33" spans="1:12" x14ac:dyDescent="0.15">
      <c r="A33" s="86" t="s">
        <v>742</v>
      </c>
      <c r="B33" s="86" t="s">
        <v>1215</v>
      </c>
      <c r="C33" s="204">
        <v>76.64</v>
      </c>
      <c r="D33" s="86" t="s">
        <v>11</v>
      </c>
      <c r="E33" s="86" t="s">
        <v>1175</v>
      </c>
      <c r="F33" s="86" t="s">
        <v>1204</v>
      </c>
      <c r="G33" s="204">
        <v>16059</v>
      </c>
      <c r="H33" s="204">
        <v>37190</v>
      </c>
      <c r="I33" s="204">
        <v>250999</v>
      </c>
      <c r="J33" s="210">
        <v>55</v>
      </c>
      <c r="K33" s="275">
        <v>-7.1251090886477408</v>
      </c>
      <c r="L33" s="287"/>
    </row>
    <row r="34" spans="1:12" x14ac:dyDescent="0.15">
      <c r="A34" s="86" t="s">
        <v>738</v>
      </c>
      <c r="B34" s="86" t="s">
        <v>1216</v>
      </c>
      <c r="C34" s="204">
        <v>20.34</v>
      </c>
      <c r="D34" s="86" t="s">
        <v>11</v>
      </c>
      <c r="E34" s="86" t="s">
        <v>1175</v>
      </c>
      <c r="F34" s="86" t="s">
        <v>384</v>
      </c>
      <c r="L34" s="287"/>
    </row>
    <row r="35" spans="1:12" x14ac:dyDescent="0.15">
      <c r="A35" s="86" t="s">
        <v>1813</v>
      </c>
      <c r="B35" s="86" t="s">
        <v>1301</v>
      </c>
      <c r="C35" s="204">
        <v>20.34</v>
      </c>
      <c r="D35" s="86" t="s">
        <v>11</v>
      </c>
      <c r="E35" s="86" t="s">
        <v>1175</v>
      </c>
      <c r="F35" s="86" t="s">
        <v>1204</v>
      </c>
      <c r="G35" s="204">
        <v>7175</v>
      </c>
      <c r="H35" s="204">
        <v>1963</v>
      </c>
      <c r="I35" s="204">
        <v>6314</v>
      </c>
      <c r="J35" s="210">
        <v>2</v>
      </c>
      <c r="K35" s="275">
        <v>37.011756745200998</v>
      </c>
      <c r="L35" s="287"/>
    </row>
    <row r="36" spans="1:12" x14ac:dyDescent="0.15">
      <c r="A36" s="86" t="s">
        <v>763</v>
      </c>
      <c r="B36" s="86" t="s">
        <v>1217</v>
      </c>
      <c r="C36" s="204">
        <v>18</v>
      </c>
      <c r="D36" s="86" t="s">
        <v>11</v>
      </c>
      <c r="E36" s="86" t="s">
        <v>1175</v>
      </c>
      <c r="F36" s="86" t="s">
        <v>384</v>
      </c>
      <c r="L36" s="287"/>
    </row>
    <row r="37" spans="1:12" x14ac:dyDescent="0.15">
      <c r="A37" s="86" t="s">
        <v>1820</v>
      </c>
      <c r="B37" s="86" t="s">
        <v>1822</v>
      </c>
      <c r="C37" s="204">
        <v>18</v>
      </c>
      <c r="D37" s="86" t="s">
        <v>11</v>
      </c>
      <c r="E37" s="86" t="s">
        <v>1175</v>
      </c>
      <c r="F37" s="86" t="s">
        <v>1204</v>
      </c>
      <c r="G37" s="204">
        <v>1390</v>
      </c>
      <c r="H37" s="204">
        <v>5080</v>
      </c>
      <c r="I37" s="204">
        <v>21770</v>
      </c>
      <c r="J37" s="210">
        <v>2</v>
      </c>
      <c r="K37" s="275">
        <v>43.497812009535849</v>
      </c>
      <c r="L37" s="287"/>
    </row>
    <row r="38" spans="1:12" x14ac:dyDescent="0.15">
      <c r="A38" s="86" t="s">
        <v>250</v>
      </c>
      <c r="B38" s="86" t="s">
        <v>1218</v>
      </c>
      <c r="C38" s="204">
        <v>19.7</v>
      </c>
      <c r="D38" s="86" t="s">
        <v>11</v>
      </c>
      <c r="E38" s="86" t="s">
        <v>1175</v>
      </c>
      <c r="F38" s="86" t="s">
        <v>1177</v>
      </c>
      <c r="L38" s="287"/>
    </row>
    <row r="39" spans="1:12" x14ac:dyDescent="0.15">
      <c r="A39" s="86" t="s">
        <v>736</v>
      </c>
      <c r="B39" s="86" t="s">
        <v>1219</v>
      </c>
      <c r="C39" s="204">
        <v>20</v>
      </c>
      <c r="D39" s="86" t="s">
        <v>11</v>
      </c>
      <c r="E39" s="86" t="s">
        <v>1175</v>
      </c>
      <c r="F39" s="86" t="s">
        <v>1177</v>
      </c>
      <c r="G39" s="204">
        <v>454.1</v>
      </c>
      <c r="H39" s="204">
        <v>2344.8000000000002</v>
      </c>
      <c r="I39" s="204">
        <v>31498</v>
      </c>
      <c r="J39" s="210">
        <v>9</v>
      </c>
      <c r="K39" s="275">
        <v>-208.64651167987449</v>
      </c>
      <c r="L39" s="287"/>
    </row>
    <row r="40" spans="1:12" x14ac:dyDescent="0.15">
      <c r="A40" s="86" t="s">
        <v>312</v>
      </c>
      <c r="B40" s="86" t="s">
        <v>1220</v>
      </c>
      <c r="C40" s="204">
        <v>67</v>
      </c>
      <c r="D40" s="86" t="s">
        <v>11</v>
      </c>
      <c r="E40" s="86" t="s">
        <v>1185</v>
      </c>
      <c r="F40" s="86" t="s">
        <v>385</v>
      </c>
      <c r="G40" s="204">
        <v>68285</v>
      </c>
      <c r="H40" s="204">
        <v>14711.7</v>
      </c>
      <c r="I40" s="204">
        <v>138639.66</v>
      </c>
      <c r="J40" s="210">
        <v>458</v>
      </c>
      <c r="K40" s="275">
        <v>-169.23262346811509</v>
      </c>
      <c r="L40" s="287"/>
    </row>
    <row r="41" spans="1:12" x14ac:dyDescent="0.15">
      <c r="A41" s="86" t="s">
        <v>284</v>
      </c>
      <c r="B41" s="86" t="s">
        <v>1221</v>
      </c>
      <c r="C41" s="204">
        <v>32</v>
      </c>
      <c r="D41" s="86" t="s">
        <v>11</v>
      </c>
      <c r="E41" s="86" t="s">
        <v>1185</v>
      </c>
      <c r="F41" s="86" t="s">
        <v>385</v>
      </c>
      <c r="G41" s="204">
        <v>2625.4</v>
      </c>
      <c r="H41" s="204">
        <v>3470.7</v>
      </c>
      <c r="I41" s="204">
        <v>27019.200000000001</v>
      </c>
      <c r="J41" s="210">
        <v>14</v>
      </c>
      <c r="K41" s="275">
        <v>-161.69877201049337</v>
      </c>
      <c r="L41" s="287"/>
    </row>
    <row r="42" spans="1:12" x14ac:dyDescent="0.15">
      <c r="A42" s="86" t="s">
        <v>1623</v>
      </c>
      <c r="B42" s="86" t="s">
        <v>1222</v>
      </c>
      <c r="C42" s="204">
        <v>14.95</v>
      </c>
      <c r="D42" s="86" t="s">
        <v>11</v>
      </c>
      <c r="E42" s="86" t="s">
        <v>1185</v>
      </c>
      <c r="F42" s="86" t="s">
        <v>385</v>
      </c>
      <c r="G42" s="204">
        <v>1422.6</v>
      </c>
      <c r="H42" s="204">
        <v>1375.5</v>
      </c>
      <c r="I42" s="204">
        <v>12466.400000000001</v>
      </c>
      <c r="J42" s="210">
        <v>23</v>
      </c>
      <c r="K42" s="275">
        <v>-797.14483576103862</v>
      </c>
      <c r="L42" s="287"/>
    </row>
    <row r="43" spans="1:12" x14ac:dyDescent="0.15">
      <c r="A43" s="86" t="s">
        <v>285</v>
      </c>
      <c r="B43" s="86" t="s">
        <v>1223</v>
      </c>
      <c r="C43" s="204">
        <v>24.5</v>
      </c>
      <c r="D43" s="86" t="s">
        <v>11</v>
      </c>
      <c r="E43" s="86" t="s">
        <v>1185</v>
      </c>
      <c r="F43" s="86" t="s">
        <v>385</v>
      </c>
      <c r="G43" s="204">
        <v>3782</v>
      </c>
      <c r="H43" s="204">
        <v>3907</v>
      </c>
      <c r="I43" s="204">
        <v>32517</v>
      </c>
      <c r="J43" s="210">
        <v>153</v>
      </c>
      <c r="K43" s="275">
        <v>-455.15029283575473</v>
      </c>
      <c r="L43" s="287"/>
    </row>
    <row r="44" spans="1:12" x14ac:dyDescent="0.15">
      <c r="A44" s="86" t="s">
        <v>289</v>
      </c>
      <c r="B44" s="86" t="s">
        <v>1224</v>
      </c>
      <c r="C44" s="204">
        <v>24.5</v>
      </c>
      <c r="D44" s="86" t="s">
        <v>11</v>
      </c>
      <c r="E44" s="86" t="s">
        <v>1185</v>
      </c>
      <c r="F44" s="86" t="s">
        <v>385</v>
      </c>
      <c r="G44" s="204">
        <v>3462</v>
      </c>
      <c r="H44" s="204">
        <v>2943.1</v>
      </c>
      <c r="I44" s="204">
        <v>30105.499999999996</v>
      </c>
      <c r="J44" s="210">
        <v>168</v>
      </c>
      <c r="K44" s="275">
        <v>-96.831230164489781</v>
      </c>
      <c r="L44" s="287"/>
    </row>
    <row r="45" spans="1:12" x14ac:dyDescent="0.15">
      <c r="A45" s="86" t="s">
        <v>577</v>
      </c>
      <c r="B45" s="86" t="s">
        <v>1225</v>
      </c>
      <c r="C45" s="204">
        <v>38</v>
      </c>
      <c r="D45" s="86" t="s">
        <v>11</v>
      </c>
      <c r="E45" s="86" t="s">
        <v>1226</v>
      </c>
      <c r="F45" s="86" t="s">
        <v>385</v>
      </c>
      <c r="G45" s="204">
        <v>4503.88</v>
      </c>
      <c r="H45" s="204">
        <v>5587.5</v>
      </c>
      <c r="I45" s="204">
        <v>41418.53</v>
      </c>
      <c r="J45" s="210">
        <v>58</v>
      </c>
      <c r="K45" s="275">
        <v>-666.6521904731452</v>
      </c>
      <c r="L45" s="287"/>
    </row>
    <row r="46" spans="1:12" x14ac:dyDescent="0.15">
      <c r="A46" s="86" t="s">
        <v>1680</v>
      </c>
      <c r="B46" s="86" t="s">
        <v>1200</v>
      </c>
      <c r="C46" s="204">
        <v>141.97</v>
      </c>
      <c r="D46" s="86" t="s">
        <v>11</v>
      </c>
      <c r="E46" s="86" t="s">
        <v>1175</v>
      </c>
      <c r="F46" s="86" t="s">
        <v>384</v>
      </c>
      <c r="G46" s="204">
        <v>29599.3</v>
      </c>
      <c r="H46" s="204">
        <v>43080.5</v>
      </c>
      <c r="I46" s="204">
        <v>141674.70000000001</v>
      </c>
      <c r="J46" s="210">
        <v>22</v>
      </c>
      <c r="K46" s="275">
        <v>-527.13163761992746</v>
      </c>
      <c r="L46" s="287"/>
    </row>
    <row r="47" spans="1:12" x14ac:dyDescent="0.15">
      <c r="A47" s="86" t="s">
        <v>867</v>
      </c>
      <c r="B47" s="86" t="s">
        <v>1227</v>
      </c>
      <c r="C47" s="204">
        <v>40</v>
      </c>
      <c r="D47" s="86" t="s">
        <v>11</v>
      </c>
      <c r="E47" s="86" t="s">
        <v>1185</v>
      </c>
      <c r="F47" s="86" t="s">
        <v>385</v>
      </c>
      <c r="G47" s="204">
        <v>13766.9</v>
      </c>
      <c r="H47" s="204">
        <v>13798</v>
      </c>
      <c r="I47" s="204">
        <v>105274</v>
      </c>
      <c r="J47" s="210">
        <v>519</v>
      </c>
      <c r="K47" s="275">
        <v>-23.959720178234978</v>
      </c>
      <c r="L47" s="287"/>
    </row>
    <row r="48" spans="1:12" x14ac:dyDescent="0.15">
      <c r="A48" s="86" t="s">
        <v>1605</v>
      </c>
      <c r="B48" s="86" t="s">
        <v>1606</v>
      </c>
      <c r="C48" s="204">
        <v>17.079999999999998</v>
      </c>
      <c r="D48" s="86" t="s">
        <v>11</v>
      </c>
      <c r="E48" s="86" t="s">
        <v>1175</v>
      </c>
      <c r="F48" s="86" t="s">
        <v>1204</v>
      </c>
      <c r="G48" s="204">
        <v>6199</v>
      </c>
      <c r="H48" s="204">
        <v>6199</v>
      </c>
      <c r="I48" s="204">
        <v>97178</v>
      </c>
      <c r="J48" s="210">
        <v>3</v>
      </c>
      <c r="K48" s="275">
        <v>-10.525263997780065</v>
      </c>
      <c r="L48" s="287"/>
    </row>
    <row r="49" spans="1:12" x14ac:dyDescent="0.15">
      <c r="A49" s="86" t="s">
        <v>1072</v>
      </c>
      <c r="B49" s="86" t="s">
        <v>1229</v>
      </c>
      <c r="C49" s="204">
        <v>20</v>
      </c>
      <c r="D49" s="86" t="s">
        <v>11</v>
      </c>
      <c r="E49" s="86" t="s">
        <v>1175</v>
      </c>
      <c r="F49" s="86" t="s">
        <v>1204</v>
      </c>
      <c r="G49" s="204">
        <v>2154</v>
      </c>
      <c r="H49" s="204">
        <v>607</v>
      </c>
      <c r="I49" s="204">
        <v>10383.1</v>
      </c>
      <c r="J49" s="210">
        <v>3</v>
      </c>
      <c r="K49" s="275">
        <v>-11.691073944369435</v>
      </c>
      <c r="L49" s="287"/>
    </row>
    <row r="50" spans="1:12" x14ac:dyDescent="0.15">
      <c r="A50" s="86" t="s">
        <v>255</v>
      </c>
      <c r="B50" s="86" t="s">
        <v>1230</v>
      </c>
      <c r="C50" s="204">
        <v>21.9</v>
      </c>
      <c r="D50" s="86" t="s">
        <v>11</v>
      </c>
      <c r="E50" s="86" t="s">
        <v>1175</v>
      </c>
      <c r="F50" s="86" t="s">
        <v>1177</v>
      </c>
      <c r="G50" s="204">
        <v>6512</v>
      </c>
      <c r="H50" s="204">
        <v>4665</v>
      </c>
      <c r="I50" s="204">
        <v>29206</v>
      </c>
      <c r="J50" s="210">
        <v>12</v>
      </c>
      <c r="K50" s="275">
        <v>-7.669793801923408</v>
      </c>
      <c r="L50" s="287"/>
    </row>
    <row r="51" spans="1:12" x14ac:dyDescent="0.15">
      <c r="A51" s="86" t="s">
        <v>281</v>
      </c>
      <c r="B51" s="86" t="s">
        <v>1231</v>
      </c>
      <c r="C51" s="204">
        <v>20</v>
      </c>
      <c r="D51" s="86" t="s">
        <v>11</v>
      </c>
      <c r="E51" s="86" t="s">
        <v>1175</v>
      </c>
      <c r="F51" s="86" t="s">
        <v>1204</v>
      </c>
      <c r="G51" s="204">
        <v>2306</v>
      </c>
      <c r="H51" s="204">
        <v>1503</v>
      </c>
      <c r="I51" s="204">
        <v>22401</v>
      </c>
      <c r="J51" s="210">
        <v>7</v>
      </c>
      <c r="K51" s="275">
        <v>-45.706333462469303</v>
      </c>
      <c r="L51" s="287"/>
    </row>
    <row r="52" spans="1:12" x14ac:dyDescent="0.15">
      <c r="A52" s="86" t="s">
        <v>753</v>
      </c>
      <c r="B52" s="86" t="s">
        <v>1232</v>
      </c>
      <c r="C52" s="204">
        <v>20</v>
      </c>
      <c r="D52" s="86" t="s">
        <v>11</v>
      </c>
      <c r="E52" s="86" t="s">
        <v>1175</v>
      </c>
      <c r="F52" s="86" t="s">
        <v>384</v>
      </c>
      <c r="G52" s="204">
        <v>667</v>
      </c>
      <c r="H52" s="204">
        <v>1539</v>
      </c>
      <c r="I52" s="204">
        <v>12441.5</v>
      </c>
      <c r="J52" s="210">
        <v>6</v>
      </c>
      <c r="K52" s="275">
        <v>-106.07972048422826</v>
      </c>
      <c r="L52" s="287"/>
    </row>
    <row r="53" spans="1:12" x14ac:dyDescent="0.15">
      <c r="A53" s="86" t="s">
        <v>282</v>
      </c>
      <c r="B53" s="86" t="s">
        <v>1233</v>
      </c>
      <c r="C53" s="204">
        <v>22.06</v>
      </c>
      <c r="D53" s="86" t="s">
        <v>11</v>
      </c>
      <c r="E53" s="86" t="s">
        <v>1175</v>
      </c>
      <c r="F53" s="86" t="s">
        <v>384</v>
      </c>
      <c r="G53" s="204">
        <v>1247</v>
      </c>
      <c r="H53" s="204">
        <v>1067</v>
      </c>
      <c r="I53" s="204">
        <v>10125.9</v>
      </c>
      <c r="J53" s="210">
        <v>4</v>
      </c>
      <c r="K53" s="275">
        <v>-556.82356640976832</v>
      </c>
      <c r="L53" s="287"/>
    </row>
    <row r="54" spans="1:12" x14ac:dyDescent="0.15">
      <c r="A54" s="86" t="s">
        <v>615</v>
      </c>
      <c r="B54" s="86" t="s">
        <v>1234</v>
      </c>
      <c r="C54" s="204">
        <v>17.75</v>
      </c>
      <c r="D54" s="86" t="s">
        <v>11</v>
      </c>
      <c r="E54" s="86" t="s">
        <v>1185</v>
      </c>
      <c r="F54" s="86" t="s">
        <v>385</v>
      </c>
      <c r="G54" s="204">
        <v>5762</v>
      </c>
      <c r="H54" s="204">
        <v>6499</v>
      </c>
      <c r="I54" s="204">
        <v>60242</v>
      </c>
      <c r="J54" s="210">
        <v>272</v>
      </c>
      <c r="K54" s="275">
        <v>-53.789906710577597</v>
      </c>
      <c r="L54" s="287"/>
    </row>
    <row r="55" spans="1:12" x14ac:dyDescent="0.15">
      <c r="A55" s="86" t="s">
        <v>286</v>
      </c>
      <c r="B55" s="86" t="s">
        <v>1235</v>
      </c>
      <c r="C55" s="204">
        <v>10</v>
      </c>
      <c r="D55" s="86" t="s">
        <v>11</v>
      </c>
      <c r="E55" s="86" t="s">
        <v>1185</v>
      </c>
      <c r="F55" s="86" t="s">
        <v>385</v>
      </c>
      <c r="G55" s="204">
        <v>1506</v>
      </c>
      <c r="H55" s="204">
        <v>1688</v>
      </c>
      <c r="I55" s="204">
        <v>18721</v>
      </c>
      <c r="J55" s="210">
        <v>58</v>
      </c>
      <c r="K55" s="275">
        <v>-4.8903529136461898</v>
      </c>
      <c r="L55" s="287"/>
    </row>
    <row r="56" spans="1:12" x14ac:dyDescent="0.15">
      <c r="A56" s="86" t="s">
        <v>1076</v>
      </c>
      <c r="B56" s="86" t="s">
        <v>1236</v>
      </c>
      <c r="C56" s="204">
        <v>18.38</v>
      </c>
      <c r="D56" s="86" t="s">
        <v>11</v>
      </c>
      <c r="E56" s="86" t="s">
        <v>1226</v>
      </c>
      <c r="F56" s="86" t="s">
        <v>385</v>
      </c>
      <c r="G56" s="204">
        <v>1577.7</v>
      </c>
      <c r="H56" s="204">
        <v>1925.8</v>
      </c>
      <c r="I56" s="204">
        <v>20792.100000000002</v>
      </c>
      <c r="J56" s="210">
        <v>19</v>
      </c>
      <c r="K56" s="275">
        <v>-141.72358459476408</v>
      </c>
      <c r="L56" s="287"/>
    </row>
    <row r="57" spans="1:12" x14ac:dyDescent="0.15">
      <c r="A57" s="86" t="s">
        <v>287</v>
      </c>
      <c r="B57" s="86" t="s">
        <v>1237</v>
      </c>
      <c r="C57" s="204">
        <v>15.1</v>
      </c>
      <c r="D57" s="86" t="s">
        <v>11</v>
      </c>
      <c r="E57" s="86" t="s">
        <v>1185</v>
      </c>
      <c r="F57" s="86" t="s">
        <v>385</v>
      </c>
      <c r="G57" s="204">
        <v>2748.4</v>
      </c>
      <c r="H57" s="204">
        <v>2921.5</v>
      </c>
      <c r="I57" s="204">
        <v>23792.799999999999</v>
      </c>
      <c r="J57" s="210">
        <v>66</v>
      </c>
      <c r="K57" s="275">
        <v>-16.012695372356191</v>
      </c>
      <c r="L57" s="287"/>
    </row>
    <row r="58" spans="1:12" x14ac:dyDescent="0.15">
      <c r="A58" s="86" t="s">
        <v>827</v>
      </c>
      <c r="B58" s="86" t="s">
        <v>1238</v>
      </c>
      <c r="C58" s="204">
        <v>21.6</v>
      </c>
      <c r="D58" s="86" t="s">
        <v>11</v>
      </c>
      <c r="E58" s="86" t="s">
        <v>1185</v>
      </c>
      <c r="F58" s="86" t="s">
        <v>385</v>
      </c>
      <c r="G58" s="204">
        <v>3975</v>
      </c>
      <c r="H58" s="204">
        <v>3739</v>
      </c>
      <c r="I58" s="204">
        <v>42157</v>
      </c>
      <c r="J58" s="210">
        <v>6</v>
      </c>
      <c r="K58" s="275">
        <v>-689.56090773529411</v>
      </c>
      <c r="L58" s="287"/>
    </row>
    <row r="59" spans="1:12" x14ac:dyDescent="0.15">
      <c r="A59" s="86" t="s">
        <v>288</v>
      </c>
      <c r="B59" s="86" t="s">
        <v>1239</v>
      </c>
      <c r="C59" s="204">
        <v>15.9</v>
      </c>
      <c r="D59" s="86" t="s">
        <v>11</v>
      </c>
      <c r="E59" s="86" t="s">
        <v>1185</v>
      </c>
      <c r="F59" s="86" t="s">
        <v>385</v>
      </c>
      <c r="G59" s="204">
        <v>2255</v>
      </c>
      <c r="H59" s="204">
        <v>2666</v>
      </c>
      <c r="I59" s="204">
        <v>24014</v>
      </c>
      <c r="J59" s="210">
        <v>141</v>
      </c>
      <c r="K59" s="275">
        <v>-509.63040593601551</v>
      </c>
      <c r="L59" s="287"/>
    </row>
    <row r="60" spans="1:12" x14ac:dyDescent="0.15">
      <c r="A60" s="86" t="s">
        <v>1597</v>
      </c>
      <c r="B60" s="86" t="s">
        <v>1598</v>
      </c>
      <c r="C60" s="204">
        <v>10</v>
      </c>
      <c r="D60" s="86" t="s">
        <v>11</v>
      </c>
      <c r="E60" s="86" t="s">
        <v>1185</v>
      </c>
      <c r="F60" s="86" t="s">
        <v>385</v>
      </c>
      <c r="G60" s="204">
        <v>499</v>
      </c>
      <c r="H60" s="204">
        <v>610</v>
      </c>
      <c r="I60" s="204">
        <v>7479</v>
      </c>
      <c r="J60" s="210">
        <v>27</v>
      </c>
      <c r="K60" s="275">
        <v>-569.76451269040535</v>
      </c>
      <c r="L60" s="287"/>
    </row>
    <row r="61" spans="1:12" x14ac:dyDescent="0.15">
      <c r="A61" s="86" t="s">
        <v>638</v>
      </c>
      <c r="B61" s="86" t="s">
        <v>1240</v>
      </c>
      <c r="C61" s="204">
        <v>21.2</v>
      </c>
      <c r="D61" s="86" t="s">
        <v>11</v>
      </c>
      <c r="E61" s="86" t="s">
        <v>1226</v>
      </c>
      <c r="F61" s="86" t="s">
        <v>385</v>
      </c>
      <c r="G61" s="204">
        <v>2123</v>
      </c>
      <c r="H61" s="204">
        <v>2469</v>
      </c>
      <c r="I61" s="204">
        <v>24066</v>
      </c>
      <c r="J61" s="210">
        <v>45</v>
      </c>
      <c r="K61" s="275">
        <v>-335.12722068474415</v>
      </c>
      <c r="L61" s="287"/>
    </row>
    <row r="62" spans="1:12" x14ac:dyDescent="0.15">
      <c r="A62" s="86" t="s">
        <v>517</v>
      </c>
      <c r="B62" s="86" t="s">
        <v>1241</v>
      </c>
      <c r="C62" s="204">
        <v>17.079999999999998</v>
      </c>
      <c r="D62" s="86" t="s">
        <v>11</v>
      </c>
      <c r="E62" s="86" t="s">
        <v>1175</v>
      </c>
      <c r="F62" s="86" t="s">
        <v>1177</v>
      </c>
      <c r="G62" s="204">
        <v>3080</v>
      </c>
      <c r="H62" s="204">
        <v>3414</v>
      </c>
      <c r="I62" s="204">
        <v>38398</v>
      </c>
      <c r="J62" s="210">
        <v>12</v>
      </c>
      <c r="K62" s="275">
        <v>-304.24729936128597</v>
      </c>
      <c r="L62" s="287"/>
    </row>
    <row r="63" spans="1:12" x14ac:dyDescent="0.15">
      <c r="A63" s="86" t="s">
        <v>897</v>
      </c>
      <c r="B63" s="86" t="s">
        <v>1242</v>
      </c>
      <c r="C63" s="204">
        <v>19</v>
      </c>
      <c r="D63" s="86" t="s">
        <v>11</v>
      </c>
      <c r="E63" s="86" t="s">
        <v>1175</v>
      </c>
      <c r="F63" s="86" t="s">
        <v>1204</v>
      </c>
      <c r="G63" s="204">
        <v>1825</v>
      </c>
      <c r="H63" s="204">
        <v>1726</v>
      </c>
      <c r="I63" s="204">
        <v>25215</v>
      </c>
      <c r="J63" s="210">
        <v>9</v>
      </c>
      <c r="K63" s="275">
        <v>-43.876046686701599</v>
      </c>
      <c r="L63" s="287"/>
    </row>
    <row r="64" spans="1:12" x14ac:dyDescent="0.15">
      <c r="A64" s="86" t="s">
        <v>1729</v>
      </c>
      <c r="B64" s="86" t="s">
        <v>1730</v>
      </c>
      <c r="C64" s="204">
        <v>165.15</v>
      </c>
      <c r="D64" s="86" t="s">
        <v>11</v>
      </c>
      <c r="E64" s="86" t="s">
        <v>1175</v>
      </c>
      <c r="F64" s="86" t="s">
        <v>1177</v>
      </c>
      <c r="G64" s="204">
        <v>9325</v>
      </c>
      <c r="H64" s="204">
        <v>8553</v>
      </c>
      <c r="I64" s="204">
        <v>76995</v>
      </c>
      <c r="J64" s="210">
        <v>46</v>
      </c>
      <c r="K64" s="275">
        <v>-298.99840289544517</v>
      </c>
      <c r="L64" s="287"/>
    </row>
    <row r="65" spans="1:12" x14ac:dyDescent="0.15">
      <c r="A65" s="86" t="s">
        <v>1096</v>
      </c>
      <c r="B65" s="86" t="s">
        <v>1243</v>
      </c>
      <c r="C65" s="204">
        <v>20</v>
      </c>
      <c r="D65" s="86" t="s">
        <v>11</v>
      </c>
      <c r="E65" s="86" t="s">
        <v>1175</v>
      </c>
      <c r="F65" s="86" t="s">
        <v>384</v>
      </c>
      <c r="G65" s="204">
        <v>382</v>
      </c>
      <c r="H65" s="204">
        <v>1632</v>
      </c>
      <c r="I65" s="204">
        <v>9153</v>
      </c>
      <c r="J65" s="210">
        <v>11</v>
      </c>
      <c r="K65" s="275">
        <v>55.465679517532209</v>
      </c>
      <c r="L65" s="287"/>
    </row>
    <row r="66" spans="1:12" x14ac:dyDescent="0.15">
      <c r="A66" s="86" t="s">
        <v>1112</v>
      </c>
      <c r="B66" s="199" t="s">
        <v>1244</v>
      </c>
      <c r="C66" s="204">
        <v>20</v>
      </c>
      <c r="D66" s="86" t="s">
        <v>11</v>
      </c>
      <c r="E66" s="86" t="s">
        <v>1208</v>
      </c>
      <c r="F66" s="86" t="s">
        <v>1177</v>
      </c>
      <c r="G66" s="204">
        <v>6592</v>
      </c>
      <c r="H66" s="204">
        <v>7254</v>
      </c>
      <c r="I66" s="204">
        <v>46891.9</v>
      </c>
      <c r="J66" s="210">
        <v>16</v>
      </c>
      <c r="K66" s="275">
        <v>51.448695476071727</v>
      </c>
      <c r="L66" s="287"/>
    </row>
    <row r="67" spans="1:12" x14ac:dyDescent="0.15">
      <c r="A67" s="86" t="s">
        <v>1588</v>
      </c>
      <c r="B67" s="86" t="s">
        <v>1589</v>
      </c>
      <c r="C67" s="204">
        <v>20</v>
      </c>
      <c r="D67" s="86" t="s">
        <v>11</v>
      </c>
      <c r="E67" s="86" t="s">
        <v>1175</v>
      </c>
      <c r="F67" s="86" t="s">
        <v>384</v>
      </c>
      <c r="G67" s="204">
        <v>221.4</v>
      </c>
      <c r="H67" s="204">
        <v>2431.4</v>
      </c>
      <c r="I67" s="204">
        <v>8978.7999999999993</v>
      </c>
      <c r="J67" s="210">
        <v>8</v>
      </c>
      <c r="K67" s="275">
        <v>23.471108964907572</v>
      </c>
      <c r="L67" s="287"/>
    </row>
    <row r="68" spans="1:12" x14ac:dyDescent="0.15">
      <c r="A68" s="86" t="s">
        <v>603</v>
      </c>
      <c r="B68" s="86" t="s">
        <v>1245</v>
      </c>
      <c r="C68" s="204">
        <v>30.2</v>
      </c>
      <c r="D68" s="86" t="s">
        <v>11</v>
      </c>
      <c r="E68" s="86" t="s">
        <v>1175</v>
      </c>
      <c r="F68" s="86" t="s">
        <v>384</v>
      </c>
      <c r="G68" s="204">
        <v>7599</v>
      </c>
      <c r="H68" s="204">
        <v>88</v>
      </c>
      <c r="I68" s="204">
        <v>8700</v>
      </c>
      <c r="J68" s="210">
        <v>1</v>
      </c>
      <c r="K68" s="275">
        <v>-18.372473472326021</v>
      </c>
      <c r="L68" s="287"/>
    </row>
    <row r="69" spans="1:12" x14ac:dyDescent="0.15">
      <c r="A69" s="86" t="s">
        <v>1008</v>
      </c>
      <c r="B69" s="86" t="s">
        <v>1246</v>
      </c>
      <c r="C69" s="204">
        <v>14.86</v>
      </c>
      <c r="D69" s="86" t="s">
        <v>11</v>
      </c>
      <c r="E69" s="86" t="s">
        <v>1185</v>
      </c>
      <c r="F69" s="86" t="s">
        <v>385</v>
      </c>
      <c r="G69" s="204">
        <v>1792</v>
      </c>
      <c r="H69" s="204">
        <v>1509</v>
      </c>
      <c r="I69" s="204">
        <v>16957</v>
      </c>
      <c r="J69" s="210">
        <v>5</v>
      </c>
      <c r="K69" s="275">
        <v>-539.5647496571479</v>
      </c>
      <c r="L69" s="287"/>
    </row>
    <row r="70" spans="1:12" x14ac:dyDescent="0.15">
      <c r="A70" s="86" t="s">
        <v>708</v>
      </c>
      <c r="B70" s="86" t="s">
        <v>1247</v>
      </c>
      <c r="C70" s="204">
        <v>17</v>
      </c>
      <c r="D70" s="86" t="s">
        <v>11</v>
      </c>
      <c r="E70" s="86" t="s">
        <v>1175</v>
      </c>
      <c r="F70" s="86" t="s">
        <v>384</v>
      </c>
      <c r="G70" s="204">
        <v>1198</v>
      </c>
      <c r="H70" s="204">
        <v>599</v>
      </c>
      <c r="I70" s="204">
        <v>2971</v>
      </c>
      <c r="J70" s="210">
        <v>1</v>
      </c>
      <c r="K70" s="275">
        <v>-7.5441617729938848</v>
      </c>
      <c r="L70" s="287"/>
    </row>
    <row r="71" spans="1:12" x14ac:dyDescent="0.15">
      <c r="A71" s="86" t="s">
        <v>598</v>
      </c>
      <c r="B71" s="86" t="s">
        <v>1248</v>
      </c>
      <c r="C71" s="204">
        <v>13.67</v>
      </c>
      <c r="D71" s="86" t="s">
        <v>11</v>
      </c>
      <c r="E71" s="86" t="s">
        <v>1175</v>
      </c>
      <c r="F71" s="86" t="s">
        <v>384</v>
      </c>
      <c r="L71" s="287"/>
    </row>
    <row r="72" spans="1:12" x14ac:dyDescent="0.15">
      <c r="A72" s="86" t="s">
        <v>1150</v>
      </c>
      <c r="B72" s="86" t="s">
        <v>1249</v>
      </c>
      <c r="C72" s="204">
        <v>20.62</v>
      </c>
      <c r="D72" s="86" t="s">
        <v>11</v>
      </c>
      <c r="E72" s="86" t="s">
        <v>1185</v>
      </c>
      <c r="F72" s="86" t="s">
        <v>385</v>
      </c>
      <c r="G72" s="204">
        <v>2149</v>
      </c>
      <c r="H72" s="204">
        <v>2121</v>
      </c>
      <c r="I72" s="204">
        <v>24604</v>
      </c>
      <c r="J72" s="210">
        <v>4</v>
      </c>
      <c r="K72" s="275">
        <v>-5051.7074128877957</v>
      </c>
      <c r="L72" s="287"/>
    </row>
    <row r="73" spans="1:12" x14ac:dyDescent="0.15">
      <c r="A73" s="86" t="s">
        <v>1128</v>
      </c>
      <c r="B73" s="86" t="s">
        <v>1250</v>
      </c>
      <c r="C73" s="204">
        <v>51.91</v>
      </c>
      <c r="D73" s="86" t="s">
        <v>11</v>
      </c>
      <c r="E73" s="86" t="s">
        <v>1185</v>
      </c>
      <c r="F73" s="86" t="s">
        <v>385</v>
      </c>
      <c r="G73" s="204">
        <v>5136.5</v>
      </c>
      <c r="H73" s="204">
        <v>5991.5</v>
      </c>
      <c r="I73" s="204">
        <v>58326.5</v>
      </c>
      <c r="J73" s="210">
        <v>58</v>
      </c>
      <c r="K73" s="275">
        <v>-208.62055246860783</v>
      </c>
      <c r="L73" s="287"/>
    </row>
    <row r="74" spans="1:12" x14ac:dyDescent="0.15">
      <c r="A74" s="86" t="s">
        <v>694</v>
      </c>
      <c r="B74" s="199" t="s">
        <v>1251</v>
      </c>
      <c r="C74" s="204">
        <v>11</v>
      </c>
      <c r="D74" s="86" t="s">
        <v>11</v>
      </c>
      <c r="E74" s="86" t="s">
        <v>1226</v>
      </c>
      <c r="F74" s="86" t="s">
        <v>385</v>
      </c>
      <c r="G74" s="204">
        <v>1885</v>
      </c>
      <c r="H74" s="204">
        <v>1738</v>
      </c>
      <c r="I74" s="204">
        <v>14947</v>
      </c>
      <c r="J74" s="210">
        <v>29</v>
      </c>
      <c r="K74" s="275">
        <v>-46.391383522153419</v>
      </c>
      <c r="L74" s="287"/>
    </row>
    <row r="75" spans="1:12" x14ac:dyDescent="0.15">
      <c r="A75" s="86" t="s">
        <v>388</v>
      </c>
      <c r="B75" s="86" t="s">
        <v>1252</v>
      </c>
      <c r="C75" s="204">
        <v>21.6</v>
      </c>
      <c r="D75" s="86" t="s">
        <v>11</v>
      </c>
      <c r="E75" s="86" t="s">
        <v>1175</v>
      </c>
      <c r="F75" s="86" t="s">
        <v>1177</v>
      </c>
      <c r="G75" s="204">
        <v>7912</v>
      </c>
      <c r="H75" s="204">
        <v>13889</v>
      </c>
      <c r="I75" s="204">
        <v>88365</v>
      </c>
      <c r="J75" s="210">
        <v>22</v>
      </c>
      <c r="K75" s="275">
        <v>38.931812559997134</v>
      </c>
      <c r="L75" s="287"/>
    </row>
    <row r="76" spans="1:12" x14ac:dyDescent="0.15">
      <c r="A76" s="86" t="s">
        <v>1123</v>
      </c>
      <c r="B76" s="86" t="s">
        <v>1253</v>
      </c>
      <c r="C76" s="204">
        <v>39.58</v>
      </c>
      <c r="D76" s="86" t="s">
        <v>11</v>
      </c>
      <c r="E76" s="86" t="s">
        <v>1175</v>
      </c>
      <c r="F76" s="86" t="s">
        <v>384</v>
      </c>
      <c r="G76" s="204">
        <v>3159</v>
      </c>
      <c r="H76" s="204">
        <v>1862</v>
      </c>
      <c r="I76" s="204">
        <v>26974</v>
      </c>
      <c r="J76" s="210">
        <v>2</v>
      </c>
      <c r="K76" s="275">
        <v>-7.5758056158329534</v>
      </c>
      <c r="L76" s="287"/>
    </row>
    <row r="77" spans="1:12" x14ac:dyDescent="0.15">
      <c r="A77" s="86" t="s">
        <v>712</v>
      </c>
      <c r="B77" s="86" t="s">
        <v>1254</v>
      </c>
      <c r="C77" s="204">
        <v>21.21</v>
      </c>
      <c r="D77" s="86" t="s">
        <v>11</v>
      </c>
      <c r="E77" s="86" t="s">
        <v>1185</v>
      </c>
      <c r="F77" s="86" t="s">
        <v>385</v>
      </c>
      <c r="L77" s="287"/>
    </row>
    <row r="78" spans="1:12" x14ac:dyDescent="0.15">
      <c r="A78" s="86" t="s">
        <v>1814</v>
      </c>
      <c r="B78" s="86" t="s">
        <v>1816</v>
      </c>
      <c r="C78" s="204">
        <v>21.21</v>
      </c>
      <c r="D78" s="86" t="s">
        <v>11</v>
      </c>
      <c r="E78" s="86" t="s">
        <v>1175</v>
      </c>
      <c r="F78" s="86" t="s">
        <v>384</v>
      </c>
      <c r="G78" s="204">
        <v>2388</v>
      </c>
      <c r="H78" s="204">
        <v>1163</v>
      </c>
      <c r="I78" s="204">
        <v>23230</v>
      </c>
      <c r="J78" s="210">
        <v>4</v>
      </c>
      <c r="K78" s="275">
        <v>43.953324648944047</v>
      </c>
      <c r="L78" s="287"/>
    </row>
    <row r="79" spans="1:12" x14ac:dyDescent="0.15">
      <c r="A79" s="86" t="s">
        <v>1596</v>
      </c>
      <c r="B79" s="86" t="s">
        <v>1228</v>
      </c>
      <c r="C79" s="204">
        <v>22.99</v>
      </c>
      <c r="D79" s="86" t="s">
        <v>11</v>
      </c>
      <c r="E79" s="86" t="s">
        <v>1175</v>
      </c>
      <c r="F79" s="86" t="s">
        <v>384</v>
      </c>
      <c r="G79" s="204">
        <v>835</v>
      </c>
      <c r="H79" s="204">
        <v>1588</v>
      </c>
      <c r="I79" s="204">
        <v>13588.599999999999</v>
      </c>
      <c r="J79" s="210">
        <v>9</v>
      </c>
      <c r="K79" s="275">
        <v>-247.95234019237537</v>
      </c>
      <c r="L79" s="287"/>
    </row>
    <row r="80" spans="1:12" x14ac:dyDescent="0.15">
      <c r="A80" s="86" t="s">
        <v>737</v>
      </c>
      <c r="B80" s="86" t="s">
        <v>1255</v>
      </c>
      <c r="C80" s="204">
        <v>22.72</v>
      </c>
      <c r="D80" s="86" t="s">
        <v>11</v>
      </c>
      <c r="E80" s="86" t="s">
        <v>1175</v>
      </c>
      <c r="F80" s="86" t="s">
        <v>384</v>
      </c>
      <c r="G80" s="204">
        <v>42527</v>
      </c>
      <c r="I80" s="204">
        <v>0</v>
      </c>
      <c r="L80" s="287"/>
    </row>
    <row r="81" spans="1:12" x14ac:dyDescent="0.15">
      <c r="A81" s="86" t="s">
        <v>1812</v>
      </c>
      <c r="B81" s="86" t="s">
        <v>1817</v>
      </c>
      <c r="C81" s="204">
        <v>59.9</v>
      </c>
      <c r="D81" s="86" t="s">
        <v>11</v>
      </c>
      <c r="E81" s="86" t="s">
        <v>1175</v>
      </c>
      <c r="F81" s="86" t="s">
        <v>1182</v>
      </c>
      <c r="L81" s="287"/>
    </row>
    <row r="82" spans="1:12" x14ac:dyDescent="0.15">
      <c r="A82" s="86" t="s">
        <v>1727</v>
      </c>
      <c r="B82" s="86" t="s">
        <v>1728</v>
      </c>
      <c r="C82" s="204">
        <v>69.900000000000006</v>
      </c>
      <c r="D82" s="86" t="s">
        <v>11</v>
      </c>
      <c r="E82" s="86" t="s">
        <v>1175</v>
      </c>
      <c r="F82" s="86" t="s">
        <v>384</v>
      </c>
      <c r="G82" s="204">
        <v>25000</v>
      </c>
      <c r="H82" s="204">
        <v>532</v>
      </c>
      <c r="I82" s="204">
        <v>40252</v>
      </c>
      <c r="J82" s="210">
        <v>1</v>
      </c>
      <c r="K82" s="275">
        <v>-9.3966537877988152</v>
      </c>
      <c r="L82" s="287"/>
    </row>
    <row r="83" spans="1:12" x14ac:dyDescent="0.15">
      <c r="A83" s="86" t="s">
        <v>1108</v>
      </c>
      <c r="B83" s="86" t="s">
        <v>1256</v>
      </c>
      <c r="C83" s="204">
        <v>43.3</v>
      </c>
      <c r="D83" s="86" t="s">
        <v>11</v>
      </c>
      <c r="E83" s="86" t="s">
        <v>1226</v>
      </c>
      <c r="F83" s="86" t="s">
        <v>384</v>
      </c>
      <c r="G83" s="204">
        <v>3037</v>
      </c>
      <c r="H83" s="204">
        <v>2481</v>
      </c>
      <c r="I83" s="204">
        <v>21898</v>
      </c>
      <c r="J83" s="210">
        <v>12</v>
      </c>
      <c r="K83" s="275">
        <v>-142.8557383508425</v>
      </c>
      <c r="L83" s="287"/>
    </row>
    <row r="84" spans="1:12" x14ac:dyDescent="0.15">
      <c r="A84" s="86" t="s">
        <v>908</v>
      </c>
      <c r="B84" s="86" t="s">
        <v>1257</v>
      </c>
      <c r="C84" s="204">
        <v>27.38</v>
      </c>
      <c r="D84" s="86" t="s">
        <v>11</v>
      </c>
      <c r="E84" s="86" t="s">
        <v>1226</v>
      </c>
      <c r="F84" s="86" t="s">
        <v>385</v>
      </c>
      <c r="G84" s="204">
        <v>449</v>
      </c>
      <c r="H84" s="204">
        <v>969</v>
      </c>
      <c r="I84" s="204">
        <v>6335</v>
      </c>
      <c r="J84" s="210">
        <v>6</v>
      </c>
      <c r="K84" s="275">
        <v>-1084.9941584725011</v>
      </c>
      <c r="L84" s="287"/>
    </row>
    <row r="85" spans="1:12" x14ac:dyDescent="0.15">
      <c r="A85" s="86" t="s">
        <v>765</v>
      </c>
      <c r="B85" s="86" t="s">
        <v>1258</v>
      </c>
      <c r="C85" s="204">
        <v>33.06</v>
      </c>
      <c r="D85" s="86" t="s">
        <v>11</v>
      </c>
      <c r="E85" s="86" t="s">
        <v>1175</v>
      </c>
      <c r="F85" s="86" t="s">
        <v>384</v>
      </c>
      <c r="G85" s="204">
        <v>1040</v>
      </c>
      <c r="H85" s="204">
        <v>1526</v>
      </c>
      <c r="I85" s="204">
        <v>18496</v>
      </c>
      <c r="J85" s="210">
        <v>7</v>
      </c>
      <c r="K85" s="275">
        <v>-349.44723045384825</v>
      </c>
      <c r="L85" s="287"/>
    </row>
    <row r="86" spans="1:12" x14ac:dyDescent="0.15">
      <c r="A86" s="86" t="s">
        <v>378</v>
      </c>
      <c r="B86" s="86" t="s">
        <v>1259</v>
      </c>
      <c r="C86" s="204">
        <v>24.5</v>
      </c>
      <c r="D86" s="86" t="s">
        <v>11</v>
      </c>
      <c r="E86" s="86" t="s">
        <v>1175</v>
      </c>
      <c r="F86" s="86" t="s">
        <v>384</v>
      </c>
      <c r="L86" s="287"/>
    </row>
    <row r="87" spans="1:12" x14ac:dyDescent="0.15">
      <c r="A87" s="86" t="s">
        <v>1854</v>
      </c>
      <c r="B87" s="86" t="s">
        <v>1218</v>
      </c>
      <c r="C87" s="204">
        <v>24.5</v>
      </c>
      <c r="D87" s="86" t="s">
        <v>11</v>
      </c>
      <c r="E87" s="86" t="s">
        <v>1175</v>
      </c>
      <c r="F87" s="86" t="s">
        <v>1177</v>
      </c>
      <c r="G87" s="204">
        <v>4377</v>
      </c>
      <c r="H87" s="204">
        <v>22220.5</v>
      </c>
      <c r="I87" s="204">
        <v>110457.4</v>
      </c>
      <c r="J87" s="210">
        <v>35</v>
      </c>
      <c r="K87" s="275">
        <v>57.22982820947653</v>
      </c>
      <c r="L87" s="287"/>
    </row>
    <row r="88" spans="1:12" x14ac:dyDescent="0.15">
      <c r="A88" s="86" t="s">
        <v>283</v>
      </c>
      <c r="B88" s="86" t="s">
        <v>1260</v>
      </c>
      <c r="C88" s="204">
        <v>24.5</v>
      </c>
      <c r="D88" s="86" t="s">
        <v>11</v>
      </c>
      <c r="E88" s="86" t="s">
        <v>1175</v>
      </c>
      <c r="F88" s="86" t="s">
        <v>384</v>
      </c>
      <c r="H88" s="204">
        <v>1245</v>
      </c>
      <c r="I88" s="204">
        <v>7773</v>
      </c>
      <c r="J88" s="210">
        <v>4</v>
      </c>
      <c r="K88" s="275">
        <v>-575.14661040515591</v>
      </c>
      <c r="L88" s="287"/>
    </row>
    <row r="89" spans="1:12" x14ac:dyDescent="0.15">
      <c r="A89" s="86" t="s">
        <v>1615</v>
      </c>
      <c r="B89" s="86" t="s">
        <v>1617</v>
      </c>
      <c r="C89" s="204">
        <v>26.01</v>
      </c>
      <c r="D89" s="86" t="s">
        <v>11</v>
      </c>
      <c r="E89" s="86" t="s">
        <v>1175</v>
      </c>
      <c r="F89" s="86" t="s">
        <v>384</v>
      </c>
      <c r="G89" s="204">
        <v>2824</v>
      </c>
      <c r="H89" s="204">
        <v>2130</v>
      </c>
      <c r="I89" s="204">
        <v>29998.1</v>
      </c>
      <c r="J89" s="210">
        <v>5</v>
      </c>
      <c r="K89" s="275">
        <v>-81.345464715746729</v>
      </c>
      <c r="L89" s="287"/>
    </row>
    <row r="90" spans="1:12" x14ac:dyDescent="0.15">
      <c r="A90" s="86" t="s">
        <v>381</v>
      </c>
      <c r="B90" s="86" t="s">
        <v>1261</v>
      </c>
      <c r="C90" s="204">
        <v>311</v>
      </c>
      <c r="D90" s="86" t="s">
        <v>11</v>
      </c>
      <c r="E90" s="86" t="s">
        <v>1175</v>
      </c>
      <c r="F90" s="86" t="s">
        <v>1173</v>
      </c>
      <c r="G90" s="204">
        <v>45535</v>
      </c>
      <c r="H90" s="204">
        <v>64618</v>
      </c>
      <c r="I90" s="204">
        <v>320169.40000000002</v>
      </c>
      <c r="J90" s="210">
        <v>537</v>
      </c>
      <c r="K90" s="275">
        <v>10.005573073844143</v>
      </c>
      <c r="L90" s="287"/>
    </row>
    <row r="91" spans="1:12" x14ac:dyDescent="0.15">
      <c r="A91" s="86" t="s">
        <v>1109</v>
      </c>
      <c r="B91" s="86" t="s">
        <v>1262</v>
      </c>
      <c r="C91" s="204">
        <v>6.2</v>
      </c>
      <c r="D91" s="86" t="s">
        <v>11</v>
      </c>
      <c r="E91" s="86" t="s">
        <v>1175</v>
      </c>
      <c r="F91" s="86" t="s">
        <v>1204</v>
      </c>
      <c r="H91" s="204">
        <v>1242</v>
      </c>
      <c r="I91" s="204">
        <v>4932</v>
      </c>
      <c r="J91" s="210">
        <v>9</v>
      </c>
      <c r="K91" s="275">
        <v>-7.1132314537523333</v>
      </c>
      <c r="L91" s="287"/>
    </row>
    <row r="92" spans="1:12" x14ac:dyDescent="0.15">
      <c r="A92" s="86" t="s">
        <v>542</v>
      </c>
      <c r="B92" s="199" t="s">
        <v>1263</v>
      </c>
      <c r="C92" s="204">
        <v>12</v>
      </c>
      <c r="D92" s="86" t="s">
        <v>11</v>
      </c>
      <c r="E92" s="86" t="s">
        <v>1175</v>
      </c>
      <c r="F92" s="86" t="s">
        <v>1204</v>
      </c>
      <c r="G92" s="204">
        <v>2494</v>
      </c>
      <c r="H92" s="204">
        <v>2818</v>
      </c>
      <c r="I92" s="204">
        <v>19336</v>
      </c>
      <c r="J92" s="210">
        <v>27</v>
      </c>
      <c r="K92" s="275">
        <v>-214.58579892407636</v>
      </c>
      <c r="L92" s="287"/>
    </row>
    <row r="93" spans="1:12" x14ac:dyDescent="0.15">
      <c r="A93" s="86" t="s">
        <v>670</v>
      </c>
      <c r="B93" s="86" t="s">
        <v>1264</v>
      </c>
      <c r="C93" s="204">
        <v>12</v>
      </c>
      <c r="D93" s="86" t="s">
        <v>11</v>
      </c>
      <c r="E93" s="86" t="s">
        <v>1175</v>
      </c>
      <c r="F93" s="86" t="s">
        <v>1204</v>
      </c>
      <c r="L93" s="287"/>
    </row>
    <row r="94" spans="1:12" x14ac:dyDescent="0.15">
      <c r="A94" s="86" t="s">
        <v>1805</v>
      </c>
      <c r="B94" s="86" t="s">
        <v>1806</v>
      </c>
      <c r="C94" s="204">
        <v>12</v>
      </c>
      <c r="D94" s="86" t="s">
        <v>11</v>
      </c>
      <c r="E94" s="86" t="s">
        <v>1175</v>
      </c>
      <c r="F94" s="86" t="s">
        <v>1204</v>
      </c>
      <c r="G94" s="204">
        <v>1784</v>
      </c>
      <c r="H94" s="204">
        <v>2116</v>
      </c>
      <c r="I94" s="204">
        <v>12507</v>
      </c>
      <c r="J94" s="210">
        <v>18</v>
      </c>
      <c r="K94" s="275">
        <v>1.050486599436995</v>
      </c>
      <c r="L94" s="287"/>
    </row>
    <row r="95" spans="1:12" x14ac:dyDescent="0.15">
      <c r="A95" s="86" t="s">
        <v>624</v>
      </c>
      <c r="B95" s="86" t="s">
        <v>1265</v>
      </c>
      <c r="C95" s="204">
        <v>6</v>
      </c>
      <c r="D95" s="86" t="s">
        <v>11</v>
      </c>
      <c r="E95" s="86" t="s">
        <v>1175</v>
      </c>
      <c r="F95" s="86" t="s">
        <v>1204</v>
      </c>
      <c r="G95" s="204">
        <v>5091</v>
      </c>
      <c r="H95" s="204">
        <v>5720</v>
      </c>
      <c r="I95" s="204">
        <v>31339</v>
      </c>
      <c r="J95" s="210">
        <v>19</v>
      </c>
      <c r="K95" s="275">
        <v>-13.86878382496619</v>
      </c>
      <c r="L95" s="287"/>
    </row>
    <row r="96" spans="1:12" x14ac:dyDescent="0.15">
      <c r="A96" s="86" t="s">
        <v>1117</v>
      </c>
      <c r="B96" s="86" t="s">
        <v>1266</v>
      </c>
      <c r="C96" s="204">
        <v>5</v>
      </c>
      <c r="D96" s="86" t="s">
        <v>11</v>
      </c>
      <c r="E96" s="86" t="s">
        <v>1185</v>
      </c>
      <c r="F96" s="86" t="s">
        <v>385</v>
      </c>
      <c r="G96" s="204">
        <v>782</v>
      </c>
      <c r="H96" s="204">
        <v>753</v>
      </c>
      <c r="I96" s="204">
        <v>9370</v>
      </c>
      <c r="J96" s="210">
        <v>26</v>
      </c>
      <c r="K96" s="275">
        <v>-98.07460734164566</v>
      </c>
      <c r="L96" s="287"/>
    </row>
    <row r="97" spans="1:12" x14ac:dyDescent="0.15">
      <c r="A97" s="86" t="s">
        <v>1704</v>
      </c>
      <c r="B97" s="86" t="s">
        <v>1707</v>
      </c>
      <c r="C97" s="204">
        <v>22</v>
      </c>
      <c r="D97" s="86" t="s">
        <v>11</v>
      </c>
      <c r="E97" s="86" t="s">
        <v>1185</v>
      </c>
      <c r="F97" s="86" t="s">
        <v>385</v>
      </c>
      <c r="G97" s="204">
        <v>3095.5</v>
      </c>
      <c r="H97" s="204">
        <v>4812.5</v>
      </c>
      <c r="I97" s="204">
        <v>45664.3</v>
      </c>
      <c r="J97" s="210">
        <v>75</v>
      </c>
      <c r="K97" s="275">
        <v>-19.629703166949231</v>
      </c>
      <c r="L97" s="287"/>
    </row>
    <row r="98" spans="1:12" x14ac:dyDescent="0.15">
      <c r="A98" s="86" t="s">
        <v>1808</v>
      </c>
      <c r="B98" s="86" t="s">
        <v>1300</v>
      </c>
      <c r="C98" s="204">
        <v>21.31</v>
      </c>
      <c r="D98" s="86" t="s">
        <v>11</v>
      </c>
      <c r="E98" s="86" t="s">
        <v>1175</v>
      </c>
      <c r="F98" s="86" t="s">
        <v>1204</v>
      </c>
      <c r="G98" s="204">
        <v>1060</v>
      </c>
      <c r="H98" s="204">
        <v>550</v>
      </c>
      <c r="I98" s="204">
        <v>8240</v>
      </c>
      <c r="J98" s="210">
        <v>1</v>
      </c>
      <c r="K98" s="275">
        <v>38.157663689041456</v>
      </c>
      <c r="L98" s="287"/>
    </row>
    <row r="99" spans="1:12" x14ac:dyDescent="0.15">
      <c r="A99" s="86" t="s">
        <v>1022</v>
      </c>
      <c r="B99" s="86" t="s">
        <v>1267</v>
      </c>
      <c r="C99" s="204">
        <v>35.33</v>
      </c>
      <c r="D99" s="86" t="s">
        <v>11</v>
      </c>
      <c r="E99" s="86" t="s">
        <v>1185</v>
      </c>
      <c r="F99" s="86" t="s">
        <v>385</v>
      </c>
      <c r="G99" s="204">
        <v>2901</v>
      </c>
      <c r="H99" s="204">
        <v>3063</v>
      </c>
      <c r="I99" s="204">
        <v>34630</v>
      </c>
      <c r="J99" s="210">
        <v>119</v>
      </c>
      <c r="K99" s="275">
        <v>-1037.1614521657029</v>
      </c>
      <c r="L99" s="287"/>
    </row>
    <row r="100" spans="1:12" x14ac:dyDescent="0.15">
      <c r="A100" s="86" t="s">
        <v>313</v>
      </c>
      <c r="B100" s="86" t="s">
        <v>1268</v>
      </c>
      <c r="C100" s="204">
        <v>838.41</v>
      </c>
      <c r="D100" s="86" t="s">
        <v>11</v>
      </c>
      <c r="E100" s="86" t="s">
        <v>1208</v>
      </c>
      <c r="F100" s="86" t="s">
        <v>1197</v>
      </c>
      <c r="G100" s="204">
        <v>15839</v>
      </c>
      <c r="H100" s="204">
        <v>14848</v>
      </c>
      <c r="I100" s="204">
        <v>159115</v>
      </c>
      <c r="J100" s="210">
        <v>18</v>
      </c>
      <c r="K100" s="275">
        <v>-73.237384157066245</v>
      </c>
      <c r="L100" s="287"/>
    </row>
    <row r="101" spans="1:12" x14ac:dyDescent="0.15">
      <c r="A101" s="86" t="s">
        <v>1650</v>
      </c>
      <c r="B101" s="86" t="s">
        <v>1652</v>
      </c>
      <c r="C101" s="204">
        <v>25.88</v>
      </c>
      <c r="D101" s="86" t="s">
        <v>11</v>
      </c>
      <c r="E101" s="86" t="s">
        <v>1175</v>
      </c>
      <c r="F101" s="86" t="s">
        <v>1177</v>
      </c>
      <c r="G101" s="204">
        <v>1933</v>
      </c>
      <c r="H101" s="204">
        <v>3878</v>
      </c>
      <c r="I101" s="204">
        <v>20876</v>
      </c>
      <c r="J101" s="210">
        <v>11</v>
      </c>
      <c r="K101" s="275">
        <v>-57.710794887864459</v>
      </c>
      <c r="L101" s="287"/>
    </row>
    <row r="102" spans="1:12" x14ac:dyDescent="0.15">
      <c r="A102" s="86" t="s">
        <v>1710</v>
      </c>
      <c r="B102" s="86" t="s">
        <v>1711</v>
      </c>
      <c r="C102" s="204">
        <v>27.53</v>
      </c>
      <c r="D102" s="86" t="s">
        <v>11</v>
      </c>
      <c r="E102" s="86" t="s">
        <v>1185</v>
      </c>
      <c r="F102" s="86" t="s">
        <v>385</v>
      </c>
      <c r="G102" s="204">
        <v>7149.6</v>
      </c>
      <c r="H102" s="204">
        <v>7361.5</v>
      </c>
      <c r="I102" s="204">
        <v>53431</v>
      </c>
      <c r="J102" s="210">
        <v>288</v>
      </c>
      <c r="K102" s="275">
        <v>-39.860176134552795</v>
      </c>
      <c r="L102" s="287"/>
    </row>
    <row r="103" spans="1:12" x14ac:dyDescent="0.15">
      <c r="A103" s="279" t="s">
        <v>178</v>
      </c>
      <c r="B103" s="86" t="s">
        <v>1269</v>
      </c>
      <c r="C103" s="204">
        <v>11</v>
      </c>
      <c r="D103" s="86" t="s">
        <v>1211</v>
      </c>
      <c r="E103" s="86" t="s">
        <v>1208</v>
      </c>
      <c r="F103" s="86" t="s">
        <v>1209</v>
      </c>
      <c r="L103" s="287"/>
    </row>
    <row r="104" spans="1:12" x14ac:dyDescent="0.15">
      <c r="A104" s="86" t="s">
        <v>1011</v>
      </c>
      <c r="B104" s="86" t="s">
        <v>1270</v>
      </c>
      <c r="C104" s="204">
        <v>62.190000000000005</v>
      </c>
      <c r="D104" s="86" t="s">
        <v>265</v>
      </c>
      <c r="E104" s="86" t="s">
        <v>1175</v>
      </c>
      <c r="F104" s="86" t="s">
        <v>1177</v>
      </c>
      <c r="G104" s="204">
        <v>4445</v>
      </c>
      <c r="H104" s="204">
        <v>5600</v>
      </c>
      <c r="I104" s="204">
        <v>42680</v>
      </c>
      <c r="J104" s="210">
        <v>9</v>
      </c>
      <c r="K104" s="275">
        <v>-28.094038544435506</v>
      </c>
      <c r="L104" s="287"/>
    </row>
    <row r="105" spans="1:12" x14ac:dyDescent="0.15">
      <c r="A105" s="86" t="s">
        <v>1765</v>
      </c>
      <c r="B105" s="86" t="s">
        <v>1766</v>
      </c>
      <c r="C105" s="204">
        <v>200</v>
      </c>
      <c r="D105" s="86" t="s">
        <v>265</v>
      </c>
      <c r="E105" s="86" t="s">
        <v>1175</v>
      </c>
      <c r="F105" s="86" t="s">
        <v>1292</v>
      </c>
      <c r="G105" s="204">
        <v>5000</v>
      </c>
      <c r="H105" s="204">
        <v>3824</v>
      </c>
      <c r="I105" s="204">
        <v>77230</v>
      </c>
      <c r="J105" s="210">
        <v>5</v>
      </c>
      <c r="K105" s="275">
        <v>-7.9554593717494626</v>
      </c>
      <c r="L105" s="287"/>
    </row>
    <row r="106" spans="1:12" x14ac:dyDescent="0.15">
      <c r="A106" s="86" t="s">
        <v>668</v>
      </c>
      <c r="B106" s="86" t="s">
        <v>1272</v>
      </c>
      <c r="C106" s="204">
        <v>71.62</v>
      </c>
      <c r="D106" s="86" t="s">
        <v>265</v>
      </c>
      <c r="E106" s="86" t="s">
        <v>1175</v>
      </c>
      <c r="F106" s="86" t="s">
        <v>1204</v>
      </c>
      <c r="L106" s="287"/>
    </row>
    <row r="107" spans="1:12" x14ac:dyDescent="0.15">
      <c r="A107" s="86" t="s">
        <v>1786</v>
      </c>
      <c r="B107" s="86" t="s">
        <v>1789</v>
      </c>
      <c r="C107" s="204">
        <v>99</v>
      </c>
      <c r="D107" s="86" t="s">
        <v>265</v>
      </c>
      <c r="E107" s="86" t="s">
        <v>1175</v>
      </c>
      <c r="F107" s="86" t="s">
        <v>1154</v>
      </c>
      <c r="G107" s="204">
        <v>10357.200000000001</v>
      </c>
      <c r="H107" s="204">
        <v>1717.2</v>
      </c>
      <c r="I107" s="204">
        <v>31452.600000000002</v>
      </c>
      <c r="J107" s="210">
        <v>1</v>
      </c>
      <c r="K107" s="275">
        <v>-13.09809761453673</v>
      </c>
      <c r="L107" s="287"/>
    </row>
    <row r="108" spans="1:12" x14ac:dyDescent="0.15">
      <c r="A108" s="86" t="s">
        <v>796</v>
      </c>
      <c r="B108" s="86" t="s">
        <v>1273</v>
      </c>
      <c r="C108" s="204">
        <v>33</v>
      </c>
      <c r="D108" s="86" t="s">
        <v>265</v>
      </c>
      <c r="E108" s="86" t="s">
        <v>1175</v>
      </c>
      <c r="F108" s="86" t="s">
        <v>1204</v>
      </c>
      <c r="G108" s="204">
        <v>63826</v>
      </c>
      <c r="H108" s="204">
        <v>32382</v>
      </c>
      <c r="I108" s="204">
        <v>369012</v>
      </c>
      <c r="J108" s="210">
        <v>19</v>
      </c>
      <c r="K108" s="275">
        <v>-114.24325969881303</v>
      </c>
      <c r="L108" s="287"/>
    </row>
    <row r="109" spans="1:12" x14ac:dyDescent="0.15">
      <c r="A109" s="86" t="s">
        <v>656</v>
      </c>
      <c r="B109" s="86" t="s">
        <v>1274</v>
      </c>
      <c r="C109" s="204">
        <v>70</v>
      </c>
      <c r="D109" s="86" t="s">
        <v>265</v>
      </c>
      <c r="E109" s="86" t="s">
        <v>1175</v>
      </c>
      <c r="F109" s="86" t="s">
        <v>1177</v>
      </c>
      <c r="G109" s="204">
        <v>91563</v>
      </c>
      <c r="H109" s="204">
        <v>30304</v>
      </c>
      <c r="I109" s="204">
        <v>141964</v>
      </c>
      <c r="J109" s="210">
        <v>30</v>
      </c>
      <c r="K109" s="275">
        <v>-204.2689687069703</v>
      </c>
      <c r="L109" s="287"/>
    </row>
    <row r="110" spans="1:12" x14ac:dyDescent="0.15">
      <c r="A110" s="86" t="s">
        <v>785</v>
      </c>
      <c r="B110" s="86" t="s">
        <v>1275</v>
      </c>
      <c r="C110" s="204">
        <v>36</v>
      </c>
      <c r="D110" s="86" t="s">
        <v>265</v>
      </c>
      <c r="E110" s="86" t="s">
        <v>1175</v>
      </c>
      <c r="F110" s="86" t="s">
        <v>1177</v>
      </c>
      <c r="G110" s="204">
        <v>7660</v>
      </c>
      <c r="H110" s="204">
        <v>10410</v>
      </c>
      <c r="I110" s="204">
        <v>122455</v>
      </c>
      <c r="J110" s="210">
        <v>14</v>
      </c>
      <c r="K110" s="275">
        <v>-502.96673274213799</v>
      </c>
      <c r="L110" s="287"/>
    </row>
    <row r="111" spans="1:12" x14ac:dyDescent="0.15">
      <c r="A111" s="86" t="s">
        <v>1016</v>
      </c>
      <c r="B111" s="86" t="s">
        <v>1276</v>
      </c>
      <c r="C111" s="204">
        <v>45.82</v>
      </c>
      <c r="D111" s="86" t="s">
        <v>265</v>
      </c>
      <c r="E111" s="86" t="s">
        <v>1175</v>
      </c>
      <c r="F111" s="86" t="s">
        <v>1204</v>
      </c>
      <c r="G111" s="204">
        <v>5337</v>
      </c>
      <c r="H111" s="204">
        <v>6074</v>
      </c>
      <c r="I111" s="204">
        <v>41596</v>
      </c>
      <c r="J111" s="210">
        <v>4</v>
      </c>
      <c r="K111" s="275">
        <v>-36.087136945212038</v>
      </c>
      <c r="L111" s="287"/>
    </row>
    <row r="112" spans="1:12" x14ac:dyDescent="0.15">
      <c r="A112" s="86" t="s">
        <v>1064</v>
      </c>
      <c r="B112" s="86" t="s">
        <v>1277</v>
      </c>
      <c r="C112" s="204">
        <v>60.93</v>
      </c>
      <c r="D112" s="86" t="s">
        <v>265</v>
      </c>
      <c r="E112" s="86" t="s">
        <v>1175</v>
      </c>
      <c r="F112" s="86" t="s">
        <v>1204</v>
      </c>
      <c r="G112" s="204">
        <v>4228</v>
      </c>
      <c r="H112" s="204">
        <v>12066</v>
      </c>
      <c r="I112" s="204">
        <v>95386</v>
      </c>
      <c r="J112" s="210">
        <v>3</v>
      </c>
      <c r="K112" s="275">
        <v>-198.32539567710947</v>
      </c>
      <c r="L112" s="287"/>
    </row>
    <row r="113" spans="1:12" x14ac:dyDescent="0.15">
      <c r="A113" s="86" t="s">
        <v>878</v>
      </c>
      <c r="B113" s="86" t="s">
        <v>1278</v>
      </c>
      <c r="C113" s="204">
        <v>63.87</v>
      </c>
      <c r="D113" s="86" t="s">
        <v>265</v>
      </c>
      <c r="E113" s="86" t="s">
        <v>1175</v>
      </c>
      <c r="F113" s="86" t="s">
        <v>1177</v>
      </c>
      <c r="G113" s="204">
        <v>14055</v>
      </c>
      <c r="H113" s="204">
        <v>23622</v>
      </c>
      <c r="I113" s="204">
        <v>223084.5</v>
      </c>
      <c r="J113" s="210">
        <v>54</v>
      </c>
      <c r="K113" s="275">
        <v>-146.25830753635131</v>
      </c>
      <c r="L113" s="287"/>
    </row>
    <row r="114" spans="1:12" x14ac:dyDescent="0.15">
      <c r="A114" s="86" t="s">
        <v>183</v>
      </c>
      <c r="B114" s="86" t="s">
        <v>1279</v>
      </c>
      <c r="C114" s="204">
        <v>140</v>
      </c>
      <c r="D114" s="86" t="s">
        <v>265</v>
      </c>
      <c r="E114" s="86" t="s">
        <v>1175</v>
      </c>
      <c r="F114" s="86" t="s">
        <v>1154</v>
      </c>
      <c r="G114" s="204">
        <v>7942</v>
      </c>
      <c r="H114" s="204">
        <v>10934</v>
      </c>
      <c r="I114" s="204">
        <v>118202</v>
      </c>
      <c r="J114" s="210">
        <v>6</v>
      </c>
      <c r="K114" s="275">
        <v>-168.13666130179007</v>
      </c>
      <c r="L114" s="287"/>
    </row>
    <row r="115" spans="1:12" x14ac:dyDescent="0.15">
      <c r="A115" s="86" t="s">
        <v>1121</v>
      </c>
      <c r="B115" s="86" t="s">
        <v>1281</v>
      </c>
      <c r="C115" s="204">
        <v>80</v>
      </c>
      <c r="D115" s="86" t="s">
        <v>265</v>
      </c>
      <c r="E115" s="86" t="s">
        <v>1175</v>
      </c>
      <c r="F115" s="86" t="s">
        <v>1154</v>
      </c>
      <c r="G115" s="204">
        <v>10422</v>
      </c>
      <c r="I115" s="204">
        <v>23823</v>
      </c>
      <c r="K115" s="275">
        <v>45.375481568727103</v>
      </c>
      <c r="L115" s="287"/>
    </row>
    <row r="116" spans="1:12" x14ac:dyDescent="0.15">
      <c r="A116" s="86" t="s">
        <v>1660</v>
      </c>
      <c r="B116" s="86" t="s">
        <v>1661</v>
      </c>
      <c r="C116" s="204">
        <v>22</v>
      </c>
      <c r="D116" s="86" t="s">
        <v>265</v>
      </c>
      <c r="E116" s="86" t="s">
        <v>1185</v>
      </c>
      <c r="F116" s="86" t="s">
        <v>385</v>
      </c>
      <c r="K116" s="275">
        <v>91.060670934239269</v>
      </c>
      <c r="L116" s="287"/>
    </row>
    <row r="117" spans="1:12" x14ac:dyDescent="0.15">
      <c r="A117" s="86" t="s">
        <v>184</v>
      </c>
      <c r="B117" s="86" t="s">
        <v>1282</v>
      </c>
      <c r="C117" s="204">
        <v>100.1</v>
      </c>
      <c r="D117" s="86" t="s">
        <v>265</v>
      </c>
      <c r="E117" s="86" t="s">
        <v>1175</v>
      </c>
      <c r="F117" s="86" t="s">
        <v>1154</v>
      </c>
      <c r="G117" s="204">
        <v>4870</v>
      </c>
      <c r="H117" s="204">
        <v>3594</v>
      </c>
      <c r="I117" s="204">
        <v>52015</v>
      </c>
      <c r="J117" s="210">
        <v>5</v>
      </c>
      <c r="K117" s="275">
        <v>-140.79957008470103</v>
      </c>
      <c r="L117" s="287"/>
    </row>
    <row r="118" spans="1:12" x14ac:dyDescent="0.15">
      <c r="A118" s="86" t="s">
        <v>315</v>
      </c>
      <c r="B118" s="86" t="s">
        <v>1283</v>
      </c>
      <c r="C118" s="204">
        <v>173.59</v>
      </c>
      <c r="D118" s="86" t="s">
        <v>265</v>
      </c>
      <c r="E118" s="86" t="s">
        <v>1175</v>
      </c>
      <c r="F118" s="86" t="s">
        <v>1154</v>
      </c>
      <c r="G118" s="204">
        <v>510</v>
      </c>
      <c r="H118" s="204">
        <v>11720</v>
      </c>
      <c r="I118" s="204">
        <v>58338</v>
      </c>
      <c r="J118" s="210">
        <v>5</v>
      </c>
      <c r="K118" s="275">
        <v>-156.67796677391573</v>
      </c>
      <c r="L118" s="287"/>
    </row>
    <row r="119" spans="1:12" x14ac:dyDescent="0.15">
      <c r="A119" s="86" t="s">
        <v>647</v>
      </c>
      <c r="B119" s="86" t="s">
        <v>1284</v>
      </c>
      <c r="C119" s="204">
        <v>79.510000000000005</v>
      </c>
      <c r="D119" s="86" t="s">
        <v>265</v>
      </c>
      <c r="E119" s="86" t="s">
        <v>1175</v>
      </c>
      <c r="F119" s="86" t="s">
        <v>1204</v>
      </c>
      <c r="G119" s="204">
        <v>37592</v>
      </c>
      <c r="H119" s="204">
        <v>12994</v>
      </c>
      <c r="I119" s="204">
        <v>335737</v>
      </c>
      <c r="J119" s="210">
        <v>2</v>
      </c>
      <c r="K119" s="275">
        <v>22.176741586034431</v>
      </c>
      <c r="L119" s="287"/>
    </row>
    <row r="120" spans="1:12" x14ac:dyDescent="0.15">
      <c r="A120" s="86" t="s">
        <v>650</v>
      </c>
      <c r="B120" s="86" t="s">
        <v>1285</v>
      </c>
      <c r="C120" s="204">
        <v>75.150000000000006</v>
      </c>
      <c r="D120" s="86" t="s">
        <v>265</v>
      </c>
      <c r="E120" s="86" t="s">
        <v>1175</v>
      </c>
      <c r="F120" s="86" t="s">
        <v>1204</v>
      </c>
      <c r="G120" s="204">
        <v>38097</v>
      </c>
      <c r="H120" s="204">
        <v>12216</v>
      </c>
      <c r="I120" s="204">
        <v>108551</v>
      </c>
      <c r="J120" s="210">
        <v>11</v>
      </c>
      <c r="K120" s="275">
        <v>-138.11174185295692</v>
      </c>
      <c r="L120" s="287"/>
    </row>
    <row r="121" spans="1:12" x14ac:dyDescent="0.15">
      <c r="A121" s="86" t="s">
        <v>1655</v>
      </c>
      <c r="B121" s="86" t="s">
        <v>1658</v>
      </c>
      <c r="C121" s="204">
        <v>65.83</v>
      </c>
      <c r="D121" s="86" t="s">
        <v>265</v>
      </c>
      <c r="E121" s="86" t="s">
        <v>1175</v>
      </c>
      <c r="F121" s="86" t="s">
        <v>1177</v>
      </c>
      <c r="G121" s="204">
        <v>45298.2</v>
      </c>
      <c r="H121" s="204">
        <v>42919</v>
      </c>
      <c r="I121" s="204">
        <v>431335.69999999995</v>
      </c>
      <c r="J121" s="210">
        <v>150</v>
      </c>
      <c r="K121" s="275">
        <v>-879.5546841078982</v>
      </c>
      <c r="L121" s="287"/>
    </row>
    <row r="122" spans="1:12" x14ac:dyDescent="0.15">
      <c r="A122" s="86" t="s">
        <v>1793</v>
      </c>
      <c r="B122" s="199" t="s">
        <v>1286</v>
      </c>
      <c r="C122" s="204">
        <v>89.39</v>
      </c>
      <c r="D122" s="86" t="s">
        <v>265</v>
      </c>
      <c r="E122" s="86" t="s">
        <v>1175</v>
      </c>
      <c r="F122" s="86" t="s">
        <v>1154</v>
      </c>
      <c r="G122" s="204">
        <v>4390</v>
      </c>
      <c r="H122" s="204">
        <v>2230</v>
      </c>
      <c r="I122" s="204">
        <v>40046</v>
      </c>
      <c r="J122" s="210">
        <v>2</v>
      </c>
      <c r="K122" s="275">
        <v>-93.692307295843761</v>
      </c>
      <c r="L122" s="287"/>
    </row>
    <row r="123" spans="1:12" x14ac:dyDescent="0.15">
      <c r="A123" s="86" t="s">
        <v>377</v>
      </c>
      <c r="B123" s="86" t="s">
        <v>1287</v>
      </c>
      <c r="C123" s="204">
        <v>140.08000000000001</v>
      </c>
      <c r="D123" s="86" t="s">
        <v>265</v>
      </c>
      <c r="E123" s="86" t="s">
        <v>1175</v>
      </c>
      <c r="F123" s="86" t="s">
        <v>1173</v>
      </c>
      <c r="G123" s="204">
        <v>22550.6</v>
      </c>
      <c r="H123" s="204">
        <v>24934.3</v>
      </c>
      <c r="I123" s="204">
        <v>191630.9</v>
      </c>
      <c r="J123" s="210">
        <v>1546</v>
      </c>
      <c r="K123" s="275">
        <v>-138.86335833157304</v>
      </c>
      <c r="L123" s="287"/>
    </row>
    <row r="124" spans="1:12" x14ac:dyDescent="0.15">
      <c r="A124" s="86" t="s">
        <v>350</v>
      </c>
      <c r="B124" s="86" t="s">
        <v>1288</v>
      </c>
      <c r="C124" s="204">
        <v>65.540000000000006</v>
      </c>
      <c r="D124" s="86" t="s">
        <v>265</v>
      </c>
      <c r="E124" s="86" t="s">
        <v>1175</v>
      </c>
      <c r="F124" s="86" t="s">
        <v>1204</v>
      </c>
      <c r="H124" s="204">
        <v>20273</v>
      </c>
      <c r="I124" s="204">
        <v>54532</v>
      </c>
      <c r="J124" s="210">
        <v>13</v>
      </c>
      <c r="K124" s="275">
        <v>47.343571172117606</v>
      </c>
      <c r="L124" s="287"/>
    </row>
    <row r="125" spans="1:12" x14ac:dyDescent="0.15">
      <c r="A125" s="86" t="s">
        <v>347</v>
      </c>
      <c r="B125" s="199" t="s">
        <v>1289</v>
      </c>
      <c r="C125" s="204">
        <v>100.16</v>
      </c>
      <c r="D125" s="86" t="s">
        <v>265</v>
      </c>
      <c r="E125" s="86" t="s">
        <v>1175</v>
      </c>
      <c r="F125" s="86" t="s">
        <v>1154</v>
      </c>
      <c r="L125" s="287"/>
    </row>
    <row r="126" spans="1:12" x14ac:dyDescent="0.15">
      <c r="A126" s="86" t="s">
        <v>1900</v>
      </c>
      <c r="B126" s="86" t="s">
        <v>1901</v>
      </c>
      <c r="C126" s="204">
        <v>90</v>
      </c>
      <c r="D126" s="86" t="s">
        <v>265</v>
      </c>
      <c r="E126" s="86" t="s">
        <v>1175</v>
      </c>
      <c r="F126" s="86" t="s">
        <v>1154</v>
      </c>
      <c r="G126" s="204">
        <v>9621.1</v>
      </c>
      <c r="H126" s="204">
        <v>11048.4</v>
      </c>
      <c r="I126" s="204">
        <v>61888.000000000007</v>
      </c>
      <c r="J126" s="210">
        <v>10</v>
      </c>
      <c r="K126" s="275">
        <v>-11.564162562069956</v>
      </c>
      <c r="L126" s="287"/>
    </row>
    <row r="127" spans="1:12" x14ac:dyDescent="0.15">
      <c r="A127" s="86" t="s">
        <v>1068</v>
      </c>
      <c r="B127" s="86" t="s">
        <v>1290</v>
      </c>
      <c r="C127" s="204">
        <v>194.2</v>
      </c>
      <c r="D127" s="86" t="s">
        <v>265</v>
      </c>
      <c r="E127" s="86" t="s">
        <v>1175</v>
      </c>
      <c r="F127" s="86" t="s">
        <v>1154</v>
      </c>
      <c r="G127" s="204">
        <v>10772</v>
      </c>
      <c r="H127" s="204">
        <v>17551</v>
      </c>
      <c r="I127" s="204">
        <v>229072</v>
      </c>
      <c r="J127" s="210">
        <v>15</v>
      </c>
      <c r="K127" s="275">
        <v>-171.54656455198207</v>
      </c>
      <c r="L127" s="287"/>
    </row>
    <row r="128" spans="1:12" x14ac:dyDescent="0.15">
      <c r="A128" s="86" t="s">
        <v>380</v>
      </c>
      <c r="B128" s="86" t="s">
        <v>1291</v>
      </c>
      <c r="C128" s="204">
        <v>175</v>
      </c>
      <c r="D128" s="86" t="s">
        <v>265</v>
      </c>
      <c r="E128" s="86" t="s">
        <v>1175</v>
      </c>
      <c r="F128" s="86" t="s">
        <v>1292</v>
      </c>
      <c r="G128" s="204">
        <v>19910</v>
      </c>
      <c r="H128" s="204">
        <v>27337</v>
      </c>
      <c r="I128" s="204">
        <v>246078</v>
      </c>
      <c r="J128" s="210">
        <v>60</v>
      </c>
      <c r="K128" s="275">
        <v>-58.951348540494372</v>
      </c>
      <c r="L128" s="287"/>
    </row>
    <row r="129" spans="1:12" x14ac:dyDescent="0.15">
      <c r="A129" s="86" t="s">
        <v>360</v>
      </c>
      <c r="B129" s="86" t="s">
        <v>1293</v>
      </c>
      <c r="C129" s="204">
        <v>32.630000000000003</v>
      </c>
      <c r="D129" s="86" t="s">
        <v>265</v>
      </c>
      <c r="E129" s="86" t="s">
        <v>1175</v>
      </c>
      <c r="F129" s="86" t="s">
        <v>1204</v>
      </c>
      <c r="G129" s="204">
        <v>1600</v>
      </c>
      <c r="H129" s="204">
        <v>17970</v>
      </c>
      <c r="I129" s="204">
        <v>37870</v>
      </c>
      <c r="J129" s="210">
        <v>7</v>
      </c>
      <c r="K129" s="275">
        <v>60.091540126255147</v>
      </c>
      <c r="L129" s="287"/>
    </row>
    <row r="130" spans="1:12" x14ac:dyDescent="0.15">
      <c r="A130" s="86" t="s">
        <v>390</v>
      </c>
      <c r="B130" s="86" t="s">
        <v>1294</v>
      </c>
      <c r="C130" s="204">
        <v>73.900000000000006</v>
      </c>
      <c r="D130" s="86" t="s">
        <v>265</v>
      </c>
      <c r="E130" s="86" t="s">
        <v>1175</v>
      </c>
      <c r="F130" s="86" t="s">
        <v>1204</v>
      </c>
      <c r="G130" s="204">
        <v>15610</v>
      </c>
      <c r="H130" s="204">
        <v>28288</v>
      </c>
      <c r="I130" s="204">
        <v>263981.5</v>
      </c>
      <c r="J130" s="210">
        <v>16</v>
      </c>
      <c r="K130" s="275">
        <v>-207.73386864045582</v>
      </c>
      <c r="L130" s="287"/>
    </row>
    <row r="131" spans="1:12" x14ac:dyDescent="0.15">
      <c r="A131" s="86" t="s">
        <v>505</v>
      </c>
      <c r="B131" s="86" t="s">
        <v>1295</v>
      </c>
      <c r="C131" s="204">
        <v>49.76</v>
      </c>
      <c r="D131" s="86" t="s">
        <v>265</v>
      </c>
      <c r="E131" s="86" t="s">
        <v>1175</v>
      </c>
      <c r="F131" s="86" t="s">
        <v>1204</v>
      </c>
      <c r="G131" s="204">
        <v>-1300</v>
      </c>
      <c r="H131" s="204">
        <v>12750</v>
      </c>
      <c r="I131" s="204">
        <v>77830</v>
      </c>
      <c r="J131" s="210">
        <v>7</v>
      </c>
      <c r="K131" s="275">
        <v>-311.72933901610816</v>
      </c>
      <c r="L131" s="287"/>
    </row>
    <row r="132" spans="1:12" x14ac:dyDescent="0.15">
      <c r="A132" s="86" t="s">
        <v>1686</v>
      </c>
      <c r="B132" s="86" t="s">
        <v>1688</v>
      </c>
      <c r="C132" s="204">
        <v>60</v>
      </c>
      <c r="D132" s="86" t="s">
        <v>265</v>
      </c>
      <c r="E132" s="86" t="s">
        <v>1175</v>
      </c>
      <c r="F132" s="279" t="s">
        <v>1204</v>
      </c>
      <c r="G132" s="204">
        <v>7750</v>
      </c>
      <c r="H132" s="204">
        <v>18210</v>
      </c>
      <c r="I132" s="204">
        <v>93450</v>
      </c>
      <c r="J132" s="210">
        <v>14</v>
      </c>
      <c r="K132" s="275">
        <v>12.509188563665896</v>
      </c>
      <c r="L132" s="287"/>
    </row>
    <row r="133" spans="1:12" x14ac:dyDescent="0.15">
      <c r="A133" s="86" t="s">
        <v>768</v>
      </c>
      <c r="B133" s="86" t="s">
        <v>1296</v>
      </c>
      <c r="C133" s="204">
        <v>75.680000000000007</v>
      </c>
      <c r="D133" s="86" t="s">
        <v>265</v>
      </c>
      <c r="E133" s="86" t="s">
        <v>1175</v>
      </c>
      <c r="F133" s="86" t="s">
        <v>1154</v>
      </c>
      <c r="G133" s="204">
        <v>4050</v>
      </c>
      <c r="H133" s="204">
        <v>8600</v>
      </c>
      <c r="I133" s="204">
        <v>61070</v>
      </c>
      <c r="J133" s="210">
        <v>2</v>
      </c>
      <c r="K133" s="275">
        <v>1.110346763380976</v>
      </c>
      <c r="L133" s="287"/>
    </row>
    <row r="134" spans="1:12" x14ac:dyDescent="0.15">
      <c r="A134" s="86" t="s">
        <v>824</v>
      </c>
      <c r="B134" s="86" t="s">
        <v>1297</v>
      </c>
      <c r="C134" s="204">
        <v>81</v>
      </c>
      <c r="D134" s="86" t="s">
        <v>265</v>
      </c>
      <c r="E134" s="86" t="s">
        <v>1175</v>
      </c>
      <c r="F134" s="86" t="s">
        <v>1177</v>
      </c>
      <c r="G134" s="204">
        <v>20290</v>
      </c>
      <c r="H134" s="204">
        <v>33835</v>
      </c>
      <c r="I134" s="204">
        <v>262625</v>
      </c>
      <c r="J134" s="210">
        <v>22</v>
      </c>
      <c r="K134" s="275">
        <v>-21.115789175283361</v>
      </c>
      <c r="L134" s="287"/>
    </row>
    <row r="135" spans="1:12" x14ac:dyDescent="0.15">
      <c r="A135" s="86" t="s">
        <v>1031</v>
      </c>
      <c r="B135" s="86" t="s">
        <v>1298</v>
      </c>
      <c r="C135" s="204">
        <v>2261.48</v>
      </c>
      <c r="D135" s="86" t="s">
        <v>265</v>
      </c>
      <c r="E135" s="86" t="s">
        <v>1175</v>
      </c>
      <c r="F135" s="86" t="s">
        <v>1154</v>
      </c>
      <c r="G135" s="204">
        <v>73286</v>
      </c>
      <c r="H135" s="204">
        <v>81569</v>
      </c>
      <c r="I135" s="204">
        <v>1123240</v>
      </c>
      <c r="J135" s="210">
        <v>399</v>
      </c>
      <c r="K135" s="275">
        <v>-233.78544793430711</v>
      </c>
      <c r="L135" s="287"/>
    </row>
    <row r="136" spans="1:12" x14ac:dyDescent="0.15">
      <c r="A136" s="86" t="s">
        <v>1073</v>
      </c>
      <c r="B136" s="86" t="s">
        <v>1299</v>
      </c>
      <c r="C136" s="204">
        <v>508</v>
      </c>
      <c r="D136" s="86" t="s">
        <v>265</v>
      </c>
      <c r="E136" s="86" t="s">
        <v>1175</v>
      </c>
      <c r="F136" s="86" t="s">
        <v>384</v>
      </c>
      <c r="G136" s="204">
        <v>16538</v>
      </c>
      <c r="H136" s="204">
        <v>10996</v>
      </c>
      <c r="I136" s="204">
        <v>106118</v>
      </c>
      <c r="J136" s="210">
        <v>29</v>
      </c>
      <c r="K136" s="275">
        <v>-215.92104249528069</v>
      </c>
      <c r="L136" s="287"/>
    </row>
    <row r="137" spans="1:12" x14ac:dyDescent="0.15">
      <c r="A137" s="86" t="s">
        <v>364</v>
      </c>
      <c r="B137" s="86" t="s">
        <v>1300</v>
      </c>
      <c r="C137" s="204">
        <v>27</v>
      </c>
      <c r="D137" s="86" t="s">
        <v>265</v>
      </c>
      <c r="E137" s="86" t="s">
        <v>1175</v>
      </c>
      <c r="F137" s="86" t="s">
        <v>1204</v>
      </c>
      <c r="L137" s="287"/>
    </row>
    <row r="138" spans="1:12" x14ac:dyDescent="0.15">
      <c r="A138" s="86" t="s">
        <v>699</v>
      </c>
      <c r="B138" s="86" t="s">
        <v>1301</v>
      </c>
      <c r="C138" s="204">
        <v>22</v>
      </c>
      <c r="D138" s="86" t="s">
        <v>265</v>
      </c>
      <c r="E138" s="86" t="s">
        <v>1175</v>
      </c>
      <c r="F138" s="86" t="s">
        <v>1204</v>
      </c>
      <c r="L138" s="287"/>
    </row>
    <row r="139" spans="1:12" x14ac:dyDescent="0.15">
      <c r="A139" s="86" t="s">
        <v>179</v>
      </c>
      <c r="B139" s="86" t="s">
        <v>1302</v>
      </c>
      <c r="C139" s="204">
        <v>1954.7</v>
      </c>
      <c r="D139" s="86" t="s">
        <v>265</v>
      </c>
      <c r="E139" s="86" t="s">
        <v>1175</v>
      </c>
      <c r="F139" s="86" t="s">
        <v>1154</v>
      </c>
      <c r="G139" s="204">
        <v>145000</v>
      </c>
      <c r="H139" s="204">
        <v>145000</v>
      </c>
      <c r="I139" s="204">
        <v>1423000</v>
      </c>
      <c r="J139" s="210">
        <v>440</v>
      </c>
      <c r="K139" s="275">
        <v>-888.87779472109901</v>
      </c>
      <c r="L139" s="287"/>
    </row>
    <row r="140" spans="1:12" x14ac:dyDescent="0.15">
      <c r="A140" s="86" t="s">
        <v>180</v>
      </c>
      <c r="B140" s="86" t="s">
        <v>1303</v>
      </c>
      <c r="C140" s="204">
        <v>434.2</v>
      </c>
      <c r="D140" s="86" t="s">
        <v>265</v>
      </c>
      <c r="E140" s="86" t="s">
        <v>1175</v>
      </c>
      <c r="F140" s="86" t="s">
        <v>1154</v>
      </c>
      <c r="G140" s="204">
        <v>23000</v>
      </c>
      <c r="H140" s="204">
        <v>23000</v>
      </c>
      <c r="I140" s="204">
        <v>224500</v>
      </c>
      <c r="J140" s="210">
        <v>1</v>
      </c>
      <c r="K140" s="275">
        <v>-259.868561528562</v>
      </c>
      <c r="L140" s="287"/>
    </row>
    <row r="141" spans="1:12" x14ac:dyDescent="0.15">
      <c r="A141" s="86" t="s">
        <v>1587</v>
      </c>
      <c r="B141" s="86" t="s">
        <v>1305</v>
      </c>
      <c r="C141" s="204">
        <v>21</v>
      </c>
      <c r="D141" s="86" t="s">
        <v>265</v>
      </c>
      <c r="E141" s="86" t="s">
        <v>1208</v>
      </c>
      <c r="F141" s="86" t="s">
        <v>1209</v>
      </c>
      <c r="G141" s="204">
        <v>1422</v>
      </c>
      <c r="H141" s="204">
        <v>1170</v>
      </c>
      <c r="I141" s="204">
        <v>8065</v>
      </c>
      <c r="J141" s="210">
        <v>22</v>
      </c>
      <c r="K141" s="275">
        <v>-116.83901318373118</v>
      </c>
      <c r="L141" s="287"/>
    </row>
    <row r="142" spans="1:12" x14ac:dyDescent="0.15">
      <c r="A142" s="86" t="s">
        <v>1082</v>
      </c>
      <c r="B142" s="86" t="s">
        <v>1306</v>
      </c>
      <c r="C142" s="204">
        <v>173</v>
      </c>
      <c r="D142" s="86" t="s">
        <v>265</v>
      </c>
      <c r="E142" s="86" t="s">
        <v>1208</v>
      </c>
      <c r="F142" s="86" t="s">
        <v>1209</v>
      </c>
      <c r="G142" s="204">
        <v>246</v>
      </c>
      <c r="H142" s="204">
        <v>436</v>
      </c>
      <c r="I142" s="204">
        <v>4743</v>
      </c>
      <c r="J142" s="210">
        <v>2</v>
      </c>
      <c r="K142" s="275">
        <v>-752.3443467382574</v>
      </c>
      <c r="L142" s="287"/>
    </row>
    <row r="143" spans="1:12" x14ac:dyDescent="0.15">
      <c r="A143" s="86" t="s">
        <v>1681</v>
      </c>
      <c r="B143" s="86" t="s">
        <v>1682</v>
      </c>
      <c r="C143" s="204">
        <v>440</v>
      </c>
      <c r="D143" s="86" t="s">
        <v>265</v>
      </c>
      <c r="E143" s="86" t="s">
        <v>1175</v>
      </c>
      <c r="F143" s="86" t="s">
        <v>1154</v>
      </c>
      <c r="G143" s="204">
        <v>35000</v>
      </c>
      <c r="H143" s="204">
        <v>35000</v>
      </c>
      <c r="I143" s="204">
        <v>350000</v>
      </c>
      <c r="J143" s="210">
        <v>1</v>
      </c>
      <c r="K143" s="275">
        <v>-237.74409352139253</v>
      </c>
      <c r="L143" s="287"/>
    </row>
    <row r="144" spans="1:12" x14ac:dyDescent="0.15">
      <c r="A144" s="86" t="s">
        <v>830</v>
      </c>
      <c r="B144" s="86" t="s">
        <v>1307</v>
      </c>
      <c r="C144" s="204">
        <v>108.21</v>
      </c>
      <c r="D144" s="86" t="s">
        <v>266</v>
      </c>
      <c r="E144" s="86" t="s">
        <v>1175</v>
      </c>
      <c r="F144" s="86" t="s">
        <v>1154</v>
      </c>
      <c r="G144" s="204">
        <v>6822</v>
      </c>
      <c r="H144" s="204">
        <v>4920</v>
      </c>
      <c r="I144" s="204">
        <v>96569</v>
      </c>
      <c r="J144" s="210">
        <v>7</v>
      </c>
      <c r="K144" s="275">
        <v>-18.031370117882851</v>
      </c>
      <c r="L144" s="287"/>
    </row>
    <row r="145" spans="1:12" x14ac:dyDescent="0.15">
      <c r="A145" s="86" t="s">
        <v>854</v>
      </c>
      <c r="B145" s="86" t="s">
        <v>1308</v>
      </c>
      <c r="C145" s="204">
        <v>124.35</v>
      </c>
      <c r="D145" s="86" t="s">
        <v>266</v>
      </c>
      <c r="E145" s="86" t="s">
        <v>1175</v>
      </c>
      <c r="F145" s="86" t="s">
        <v>1154</v>
      </c>
      <c r="G145" s="204">
        <v>5266</v>
      </c>
      <c r="I145" s="204">
        <v>25389</v>
      </c>
      <c r="K145" s="275">
        <v>-43.86740635825965</v>
      </c>
      <c r="L145" s="287"/>
    </row>
    <row r="146" spans="1:12" x14ac:dyDescent="0.15">
      <c r="A146" s="86" t="s">
        <v>862</v>
      </c>
      <c r="B146" s="86" t="s">
        <v>1309</v>
      </c>
      <c r="C146" s="204">
        <v>137.86000000000001</v>
      </c>
      <c r="D146" s="86" t="s">
        <v>266</v>
      </c>
      <c r="E146" s="86" t="s">
        <v>1175</v>
      </c>
      <c r="F146" s="86" t="s">
        <v>1154</v>
      </c>
      <c r="G146" s="204">
        <v>3942</v>
      </c>
      <c r="H146" s="204">
        <v>29682</v>
      </c>
      <c r="I146" s="204">
        <v>93954</v>
      </c>
      <c r="J146" s="210">
        <v>8</v>
      </c>
      <c r="K146" s="275">
        <v>57.74265623576467</v>
      </c>
      <c r="L146" s="287"/>
    </row>
    <row r="147" spans="1:12" x14ac:dyDescent="0.15">
      <c r="A147" s="86" t="s">
        <v>761</v>
      </c>
      <c r="B147" s="86" t="s">
        <v>1310</v>
      </c>
      <c r="C147" s="204">
        <v>93.11</v>
      </c>
      <c r="D147" s="86" t="s">
        <v>266</v>
      </c>
      <c r="E147" s="86" t="s">
        <v>1175</v>
      </c>
      <c r="F147" s="86" t="s">
        <v>1154</v>
      </c>
      <c r="G147" s="204">
        <v>-1680</v>
      </c>
      <c r="H147" s="204">
        <v>8638</v>
      </c>
      <c r="I147" s="204">
        <v>23986</v>
      </c>
      <c r="J147" s="210">
        <v>4</v>
      </c>
      <c r="K147" s="275">
        <v>2.380676211341537</v>
      </c>
      <c r="L147" s="287"/>
    </row>
    <row r="148" spans="1:12" x14ac:dyDescent="0.15">
      <c r="A148" s="86" t="s">
        <v>900</v>
      </c>
      <c r="B148" s="86" t="s">
        <v>1311</v>
      </c>
      <c r="C148" s="204">
        <v>309.69</v>
      </c>
      <c r="D148" s="86" t="s">
        <v>266</v>
      </c>
      <c r="E148" s="86" t="s">
        <v>1175</v>
      </c>
      <c r="F148" s="86" t="s">
        <v>1154</v>
      </c>
      <c r="G148" s="204">
        <v>3507</v>
      </c>
      <c r="H148" s="204">
        <v>15594</v>
      </c>
      <c r="I148" s="204">
        <v>124138</v>
      </c>
      <c r="J148" s="210">
        <v>7</v>
      </c>
      <c r="K148" s="275">
        <v>-4764.8047026996519</v>
      </c>
      <c r="L148" s="287"/>
    </row>
    <row r="149" spans="1:12" x14ac:dyDescent="0.15">
      <c r="A149" s="86" t="s">
        <v>185</v>
      </c>
      <c r="B149" s="86" t="s">
        <v>1312</v>
      </c>
      <c r="C149" s="204">
        <v>90</v>
      </c>
      <c r="D149" s="86" t="s">
        <v>266</v>
      </c>
      <c r="E149" s="86" t="s">
        <v>1175</v>
      </c>
      <c r="F149" s="86" t="s">
        <v>1292</v>
      </c>
      <c r="G149" s="204">
        <v>7460</v>
      </c>
      <c r="H149" s="204">
        <v>16595</v>
      </c>
      <c r="I149" s="204">
        <v>88837</v>
      </c>
      <c r="J149" s="210">
        <v>7</v>
      </c>
      <c r="K149" s="275">
        <v>-70.741403444369027</v>
      </c>
      <c r="L149" s="287"/>
    </row>
    <row r="150" spans="1:12" x14ac:dyDescent="0.15">
      <c r="A150" s="86" t="s">
        <v>1890</v>
      </c>
      <c r="B150" s="86" t="s">
        <v>1891</v>
      </c>
      <c r="C150" s="204">
        <v>179</v>
      </c>
      <c r="D150" s="86" t="s">
        <v>266</v>
      </c>
      <c r="E150" s="86" t="s">
        <v>1175</v>
      </c>
      <c r="F150" s="86" t="s">
        <v>1154</v>
      </c>
      <c r="G150" s="204">
        <v>10041.299999999999</v>
      </c>
      <c r="H150" s="204">
        <v>12472.3</v>
      </c>
      <c r="I150" s="204">
        <v>97509.8</v>
      </c>
      <c r="J150" s="210">
        <v>13</v>
      </c>
      <c r="K150" s="275">
        <v>-293.12013814984238</v>
      </c>
      <c r="L150" s="287"/>
    </row>
    <row r="151" spans="1:12" x14ac:dyDescent="0.15">
      <c r="A151" s="86" t="s">
        <v>1892</v>
      </c>
      <c r="B151" s="86" t="s">
        <v>1893</v>
      </c>
      <c r="C151" s="204">
        <v>153</v>
      </c>
      <c r="D151" s="86" t="s">
        <v>266</v>
      </c>
      <c r="E151" s="86" t="s">
        <v>1175</v>
      </c>
      <c r="F151" s="86" t="s">
        <v>1154</v>
      </c>
      <c r="G151" s="204">
        <v>4649</v>
      </c>
      <c r="H151" s="204">
        <v>3058.3</v>
      </c>
      <c r="I151" s="204">
        <v>54953.5</v>
      </c>
      <c r="J151" s="210">
        <v>8</v>
      </c>
      <c r="K151" s="275">
        <v>-4.504838399455946</v>
      </c>
      <c r="L151" s="287"/>
    </row>
    <row r="152" spans="1:12" x14ac:dyDescent="0.15">
      <c r="A152" s="86" t="s">
        <v>678</v>
      </c>
      <c r="B152" s="86" t="s">
        <v>1313</v>
      </c>
      <c r="C152" s="204">
        <v>59</v>
      </c>
      <c r="D152" s="86" t="s">
        <v>266</v>
      </c>
      <c r="E152" s="86" t="s">
        <v>1175</v>
      </c>
      <c r="F152" s="86" t="s">
        <v>1292</v>
      </c>
      <c r="G152" s="204">
        <v>2978</v>
      </c>
      <c r="H152" s="204">
        <v>5625</v>
      </c>
      <c r="I152" s="204">
        <v>58643</v>
      </c>
      <c r="J152" s="210">
        <v>8</v>
      </c>
      <c r="K152" s="275">
        <v>-467.34582442577039</v>
      </c>
      <c r="L152" s="287"/>
    </row>
    <row r="153" spans="1:12" x14ac:dyDescent="0.15">
      <c r="A153" s="86" t="s">
        <v>674</v>
      </c>
      <c r="B153" s="86" t="s">
        <v>1314</v>
      </c>
      <c r="C153" s="204">
        <v>80</v>
      </c>
      <c r="D153" s="86" t="s">
        <v>266</v>
      </c>
      <c r="E153" s="86" t="s">
        <v>1175</v>
      </c>
      <c r="F153" s="86" t="s">
        <v>1154</v>
      </c>
      <c r="G153" s="204">
        <v>4194.3999999999996</v>
      </c>
      <c r="H153" s="204">
        <v>3561</v>
      </c>
      <c r="I153" s="204">
        <v>39301.199999999997</v>
      </c>
      <c r="J153" s="210">
        <v>2</v>
      </c>
      <c r="K153" s="275">
        <v>-26.374007910980723</v>
      </c>
      <c r="L153" s="287"/>
    </row>
    <row r="154" spans="1:12" x14ac:dyDescent="0.15">
      <c r="A154" s="86" t="s">
        <v>1834</v>
      </c>
      <c r="B154" s="86" t="s">
        <v>1837</v>
      </c>
      <c r="C154" s="204">
        <v>72</v>
      </c>
      <c r="D154" s="86" t="s">
        <v>266</v>
      </c>
      <c r="E154" s="86" t="s">
        <v>1175</v>
      </c>
      <c r="F154" s="86" t="s">
        <v>1154</v>
      </c>
      <c r="G154" s="204">
        <v>6852</v>
      </c>
      <c r="H154" s="204">
        <v>3518</v>
      </c>
      <c r="I154" s="204">
        <v>42143</v>
      </c>
      <c r="J154" s="210">
        <v>2</v>
      </c>
      <c r="K154" s="275">
        <v>-22.126560566403832</v>
      </c>
      <c r="L154" s="287"/>
    </row>
    <row r="155" spans="1:12" x14ac:dyDescent="0.15">
      <c r="A155" s="86" t="s">
        <v>1889</v>
      </c>
      <c r="B155" s="86" t="s">
        <v>1289</v>
      </c>
      <c r="C155" s="204">
        <v>86.42</v>
      </c>
      <c r="D155" s="86" t="s">
        <v>266</v>
      </c>
      <c r="E155" s="86" t="s">
        <v>1175</v>
      </c>
      <c r="F155" s="86" t="s">
        <v>1154</v>
      </c>
      <c r="G155" s="204">
        <v>7001</v>
      </c>
      <c r="H155" s="204">
        <v>3829</v>
      </c>
      <c r="I155" s="204">
        <v>66833</v>
      </c>
      <c r="J155" s="210">
        <v>3</v>
      </c>
      <c r="K155" s="275">
        <v>23.047905813776303</v>
      </c>
      <c r="L155" s="287"/>
    </row>
    <row r="156" spans="1:12" x14ac:dyDescent="0.15">
      <c r="A156" s="86" t="s">
        <v>586</v>
      </c>
      <c r="B156" s="86" t="s">
        <v>1315</v>
      </c>
      <c r="C156" s="204">
        <v>122.47</v>
      </c>
      <c r="D156" s="86" t="s">
        <v>266</v>
      </c>
      <c r="E156" s="86" t="s">
        <v>1175</v>
      </c>
      <c r="F156" s="86" t="s">
        <v>1154</v>
      </c>
      <c r="G156" s="204">
        <v>11180</v>
      </c>
      <c r="H156" s="204">
        <v>15933</v>
      </c>
      <c r="I156" s="204">
        <v>196489</v>
      </c>
      <c r="J156" s="210">
        <v>16</v>
      </c>
      <c r="K156" s="275">
        <v>-947.30934444044465</v>
      </c>
      <c r="L156" s="287"/>
    </row>
    <row r="157" spans="1:12" x14ac:dyDescent="0.15">
      <c r="A157" s="86" t="s">
        <v>1059</v>
      </c>
      <c r="B157" s="86" t="s">
        <v>1316</v>
      </c>
      <c r="C157" s="204">
        <v>85</v>
      </c>
      <c r="D157" s="86" t="s">
        <v>266</v>
      </c>
      <c r="E157" s="86" t="s">
        <v>1175</v>
      </c>
      <c r="F157" s="86" t="s">
        <v>1154</v>
      </c>
      <c r="G157" s="204">
        <v>1198</v>
      </c>
      <c r="H157" s="204">
        <v>3243</v>
      </c>
      <c r="I157" s="204">
        <v>23971</v>
      </c>
      <c r="J157" s="210">
        <v>6</v>
      </c>
      <c r="K157" s="275">
        <v>-414.27259730743896</v>
      </c>
      <c r="L157" s="287"/>
    </row>
    <row r="158" spans="1:12" x14ac:dyDescent="0.15">
      <c r="A158" s="86" t="s">
        <v>1047</v>
      </c>
      <c r="B158" s="86" t="s">
        <v>1317</v>
      </c>
      <c r="C158" s="204">
        <v>95</v>
      </c>
      <c r="D158" s="86" t="s">
        <v>266</v>
      </c>
      <c r="E158" s="86" t="s">
        <v>1175</v>
      </c>
      <c r="F158" s="86" t="s">
        <v>1154</v>
      </c>
      <c r="G158" s="204">
        <v>6142</v>
      </c>
      <c r="H158" s="204">
        <v>6024</v>
      </c>
      <c r="I158" s="204">
        <v>91554</v>
      </c>
      <c r="J158" s="210">
        <v>2</v>
      </c>
      <c r="K158" s="275">
        <v>-129.73930262855214</v>
      </c>
      <c r="L158" s="287"/>
    </row>
    <row r="159" spans="1:12" x14ac:dyDescent="0.15">
      <c r="A159" s="86" t="s">
        <v>1862</v>
      </c>
      <c r="B159" s="86" t="s">
        <v>1867</v>
      </c>
      <c r="C159" s="204">
        <v>97</v>
      </c>
      <c r="D159" s="86" t="s">
        <v>266</v>
      </c>
      <c r="E159" s="86" t="s">
        <v>1175</v>
      </c>
      <c r="F159" s="86" t="s">
        <v>1154</v>
      </c>
      <c r="G159" s="204">
        <v>5994</v>
      </c>
      <c r="H159" s="204">
        <v>14714</v>
      </c>
      <c r="I159" s="204">
        <v>94489</v>
      </c>
      <c r="J159" s="210">
        <v>5</v>
      </c>
      <c r="K159" s="275">
        <v>-66.981464027940547</v>
      </c>
      <c r="L159" s="287"/>
    </row>
    <row r="160" spans="1:12" x14ac:dyDescent="0.15">
      <c r="A160" s="279" t="s">
        <v>643</v>
      </c>
      <c r="B160" s="86" t="s">
        <v>1318</v>
      </c>
      <c r="C160" s="204">
        <v>100</v>
      </c>
      <c r="D160" s="86" t="s">
        <v>266</v>
      </c>
      <c r="E160" s="86" t="s">
        <v>1175</v>
      </c>
      <c r="F160" s="86" t="s">
        <v>1154</v>
      </c>
      <c r="G160" s="204">
        <v>5287</v>
      </c>
      <c r="H160" s="204">
        <v>8565</v>
      </c>
      <c r="I160" s="204">
        <v>62510</v>
      </c>
      <c r="J160" s="210">
        <v>3</v>
      </c>
      <c r="K160" s="275">
        <v>-1630.0687265378742</v>
      </c>
      <c r="L160" s="287"/>
    </row>
    <row r="161" spans="1:12" x14ac:dyDescent="0.15">
      <c r="A161" s="86" t="s">
        <v>186</v>
      </c>
      <c r="B161" s="86" t="s">
        <v>1319</v>
      </c>
      <c r="C161" s="204">
        <v>169.64</v>
      </c>
      <c r="D161" s="86" t="s">
        <v>266</v>
      </c>
      <c r="E161" s="86" t="s">
        <v>1175</v>
      </c>
      <c r="F161" s="86" t="s">
        <v>1154</v>
      </c>
      <c r="G161" s="204">
        <v>795</v>
      </c>
      <c r="H161" s="204">
        <v>2540</v>
      </c>
      <c r="I161" s="204">
        <v>62350</v>
      </c>
      <c r="J161" s="210">
        <v>2</v>
      </c>
      <c r="K161" s="275">
        <v>-14.332723601885867</v>
      </c>
      <c r="L161" s="287"/>
    </row>
    <row r="162" spans="1:12" x14ac:dyDescent="0.15">
      <c r="A162" s="86" t="s">
        <v>745</v>
      </c>
      <c r="B162" s="86" t="s">
        <v>1320</v>
      </c>
      <c r="C162" s="204">
        <v>140.63999999999999</v>
      </c>
      <c r="D162" s="86" t="s">
        <v>266</v>
      </c>
      <c r="E162" s="86" t="s">
        <v>1175</v>
      </c>
      <c r="F162" s="86" t="s">
        <v>1154</v>
      </c>
      <c r="G162" s="204">
        <v>2496</v>
      </c>
      <c r="H162" s="204">
        <v>7492</v>
      </c>
      <c r="I162" s="204">
        <v>53795</v>
      </c>
      <c r="J162" s="210">
        <v>4</v>
      </c>
      <c r="K162" s="275">
        <v>-386.02991656600983</v>
      </c>
      <c r="L162" s="287"/>
    </row>
    <row r="163" spans="1:12" x14ac:dyDescent="0.15">
      <c r="A163" s="86" t="s">
        <v>1612</v>
      </c>
      <c r="B163" s="86" t="s">
        <v>1616</v>
      </c>
      <c r="C163" s="204">
        <v>85.68</v>
      </c>
      <c r="D163" s="86" t="s">
        <v>266</v>
      </c>
      <c r="E163" s="86" t="s">
        <v>1175</v>
      </c>
      <c r="F163" s="86" t="s">
        <v>1154</v>
      </c>
      <c r="H163" s="204">
        <v>1390</v>
      </c>
      <c r="I163" s="204">
        <v>9402</v>
      </c>
      <c r="J163" s="210">
        <v>1</v>
      </c>
      <c r="K163" s="275">
        <v>-6923.089864048964</v>
      </c>
      <c r="L163" s="287"/>
    </row>
    <row r="164" spans="1:12" x14ac:dyDescent="0.15">
      <c r="A164" s="86" t="s">
        <v>571</v>
      </c>
      <c r="B164" s="86" t="s">
        <v>1321</v>
      </c>
      <c r="C164" s="204">
        <v>137</v>
      </c>
      <c r="D164" s="86" t="s">
        <v>266</v>
      </c>
      <c r="E164" s="86" t="s">
        <v>1175</v>
      </c>
      <c r="F164" s="86" t="s">
        <v>1154</v>
      </c>
      <c r="G164" s="204">
        <v>4386</v>
      </c>
      <c r="H164" s="204">
        <v>16332</v>
      </c>
      <c r="I164" s="204">
        <v>77024</v>
      </c>
      <c r="J164" s="210">
        <v>3</v>
      </c>
      <c r="K164" s="275">
        <v>59.801469472991656</v>
      </c>
      <c r="L164" s="287"/>
    </row>
    <row r="165" spans="1:12" x14ac:dyDescent="0.15">
      <c r="A165" s="86" t="s">
        <v>583</v>
      </c>
      <c r="B165" s="86" t="s">
        <v>1322</v>
      </c>
      <c r="C165" s="204">
        <v>105</v>
      </c>
      <c r="D165" s="86" t="s">
        <v>266</v>
      </c>
      <c r="E165" s="86" t="s">
        <v>1175</v>
      </c>
      <c r="F165" s="86" t="s">
        <v>1154</v>
      </c>
      <c r="H165" s="204">
        <v>1683</v>
      </c>
      <c r="I165" s="204">
        <v>36988</v>
      </c>
      <c r="J165" s="210">
        <v>1</v>
      </c>
      <c r="K165" s="275">
        <v>-12.380502450722886</v>
      </c>
      <c r="L165" s="287"/>
    </row>
    <row r="166" spans="1:12" x14ac:dyDescent="0.15">
      <c r="A166" s="86" t="s">
        <v>309</v>
      </c>
      <c r="B166" s="86" t="s">
        <v>1323</v>
      </c>
      <c r="C166" s="204">
        <v>108.56</v>
      </c>
      <c r="D166" s="86" t="s">
        <v>266</v>
      </c>
      <c r="E166" s="86" t="s">
        <v>1175</v>
      </c>
      <c r="F166" s="86" t="s">
        <v>1154</v>
      </c>
      <c r="G166" s="204">
        <v>4984</v>
      </c>
      <c r="H166" s="204">
        <v>6131</v>
      </c>
      <c r="I166" s="204">
        <v>47501</v>
      </c>
      <c r="J166" s="210">
        <v>7</v>
      </c>
      <c r="K166" s="275">
        <v>-6611.3989130580903</v>
      </c>
      <c r="L166" s="287"/>
    </row>
    <row r="167" spans="1:12" x14ac:dyDescent="0.15">
      <c r="A167" s="86" t="s">
        <v>351</v>
      </c>
      <c r="B167" s="86" t="s">
        <v>1324</v>
      </c>
      <c r="C167" s="204">
        <v>72.55</v>
      </c>
      <c r="D167" s="86" t="s">
        <v>266</v>
      </c>
      <c r="E167" s="86" t="s">
        <v>1175</v>
      </c>
      <c r="F167" s="86" t="s">
        <v>1154</v>
      </c>
      <c r="G167" s="204">
        <v>5548</v>
      </c>
      <c r="H167" s="204">
        <v>1889</v>
      </c>
      <c r="I167" s="204">
        <v>75552</v>
      </c>
      <c r="J167" s="210">
        <v>1</v>
      </c>
      <c r="K167" s="275">
        <v>-63.44153509068353</v>
      </c>
      <c r="L167" s="287"/>
    </row>
    <row r="168" spans="1:12" x14ac:dyDescent="0.15">
      <c r="A168" s="86" t="s">
        <v>562</v>
      </c>
      <c r="B168" s="86" t="s">
        <v>1325</v>
      </c>
      <c r="C168" s="204">
        <v>78</v>
      </c>
      <c r="D168" s="86" t="s">
        <v>266</v>
      </c>
      <c r="E168" s="86" t="s">
        <v>1175</v>
      </c>
      <c r="F168" s="86" t="s">
        <v>1292</v>
      </c>
      <c r="L168" s="287"/>
    </row>
    <row r="169" spans="1:12" x14ac:dyDescent="0.15">
      <c r="A169" s="86" t="s">
        <v>1877</v>
      </c>
      <c r="B169" s="86" t="s">
        <v>1271</v>
      </c>
      <c r="C169" s="204">
        <v>78</v>
      </c>
      <c r="D169" s="86" t="s">
        <v>266</v>
      </c>
      <c r="E169" s="86" t="s">
        <v>1175</v>
      </c>
      <c r="F169" s="86" t="s">
        <v>1154</v>
      </c>
      <c r="G169" s="204">
        <v>8073</v>
      </c>
      <c r="H169" s="204">
        <v>6361</v>
      </c>
      <c r="I169" s="204">
        <v>103560</v>
      </c>
      <c r="J169" s="210">
        <v>3</v>
      </c>
      <c r="K169" s="275">
        <v>-25.556459609579683</v>
      </c>
      <c r="L169" s="287"/>
    </row>
    <row r="170" spans="1:12" x14ac:dyDescent="0.15">
      <c r="A170" s="86" t="s">
        <v>568</v>
      </c>
      <c r="B170" s="86" t="s">
        <v>1326</v>
      </c>
      <c r="C170" s="204">
        <v>81</v>
      </c>
      <c r="D170" s="86" t="s">
        <v>266</v>
      </c>
      <c r="E170" s="86" t="s">
        <v>1175</v>
      </c>
      <c r="F170" s="86" t="s">
        <v>1292</v>
      </c>
      <c r="G170" s="204">
        <v>5183</v>
      </c>
      <c r="H170" s="204">
        <v>5856</v>
      </c>
      <c r="I170" s="204">
        <v>84962</v>
      </c>
      <c r="J170" s="210">
        <v>12</v>
      </c>
      <c r="K170" s="275">
        <v>-135.4756707892704</v>
      </c>
      <c r="L170" s="287"/>
    </row>
    <row r="171" spans="1:12" x14ac:dyDescent="0.15">
      <c r="A171" s="86" t="s">
        <v>1887</v>
      </c>
      <c r="B171" s="86" t="s">
        <v>1327</v>
      </c>
      <c r="C171" s="204">
        <v>343</v>
      </c>
      <c r="D171" s="86" t="s">
        <v>266</v>
      </c>
      <c r="E171" s="86" t="s">
        <v>1175</v>
      </c>
      <c r="F171" s="86" t="s">
        <v>1154</v>
      </c>
      <c r="G171" s="204">
        <v>27005.599999999999</v>
      </c>
      <c r="H171" s="204">
        <v>24098.2</v>
      </c>
      <c r="I171" s="204">
        <v>270513.60000000003</v>
      </c>
      <c r="J171" s="210">
        <v>20</v>
      </c>
      <c r="K171" s="275">
        <v>-626.98399126216623</v>
      </c>
      <c r="L171" s="287"/>
    </row>
    <row r="172" spans="1:12" x14ac:dyDescent="0.15">
      <c r="A172" s="86" t="s">
        <v>545</v>
      </c>
      <c r="B172" s="86" t="s">
        <v>1328</v>
      </c>
      <c r="C172" s="204">
        <v>343</v>
      </c>
      <c r="D172" s="86" t="s">
        <v>266</v>
      </c>
      <c r="E172" s="86" t="s">
        <v>1175</v>
      </c>
      <c r="F172" s="86" t="s">
        <v>1154</v>
      </c>
      <c r="G172" s="204">
        <v>14501</v>
      </c>
      <c r="H172" s="204">
        <v>12338</v>
      </c>
      <c r="I172" s="204">
        <v>169532.5</v>
      </c>
      <c r="J172" s="210">
        <v>18</v>
      </c>
      <c r="K172" s="275">
        <v>-9.0816371631060822</v>
      </c>
      <c r="L172" s="287"/>
    </row>
    <row r="173" spans="1:12" x14ac:dyDescent="0.15">
      <c r="A173" s="86" t="s">
        <v>556</v>
      </c>
      <c r="B173" s="86" t="s">
        <v>1329</v>
      </c>
      <c r="C173" s="204">
        <v>118.72</v>
      </c>
      <c r="D173" s="86" t="s">
        <v>266</v>
      </c>
      <c r="E173" s="86" t="s">
        <v>1175</v>
      </c>
      <c r="F173" s="86" t="s">
        <v>1154</v>
      </c>
      <c r="G173" s="204">
        <v>10920</v>
      </c>
      <c r="H173" s="204">
        <v>1180</v>
      </c>
      <c r="I173" s="204">
        <v>34426</v>
      </c>
      <c r="J173" s="210">
        <v>1</v>
      </c>
      <c r="K173" s="275">
        <v>-74.545843365950603</v>
      </c>
      <c r="L173" s="287"/>
    </row>
    <row r="174" spans="1:12" x14ac:dyDescent="0.15">
      <c r="A174" s="86" t="s">
        <v>1065</v>
      </c>
      <c r="B174" s="86" t="s">
        <v>1330</v>
      </c>
      <c r="C174" s="204">
        <v>51.3</v>
      </c>
      <c r="D174" s="86" t="s">
        <v>266</v>
      </c>
      <c r="E174" s="86" t="s">
        <v>1175</v>
      </c>
      <c r="F174" s="86" t="s">
        <v>1154</v>
      </c>
      <c r="G174" s="204">
        <v>13737</v>
      </c>
      <c r="H174" s="204">
        <v>8486</v>
      </c>
      <c r="I174" s="204">
        <v>84040</v>
      </c>
      <c r="J174" s="210">
        <v>8</v>
      </c>
      <c r="K174" s="275">
        <v>-110.05216594414703</v>
      </c>
      <c r="L174" s="287"/>
    </row>
    <row r="175" spans="1:12" x14ac:dyDescent="0.15">
      <c r="A175" s="86" t="s">
        <v>1069</v>
      </c>
      <c r="B175" s="86" t="s">
        <v>1331</v>
      </c>
      <c r="C175" s="204">
        <v>118.83</v>
      </c>
      <c r="D175" s="86" t="s">
        <v>266</v>
      </c>
      <c r="E175" s="86" t="s">
        <v>1175</v>
      </c>
      <c r="F175" s="86" t="s">
        <v>1154</v>
      </c>
      <c r="G175" s="204">
        <v>5790</v>
      </c>
      <c r="H175" s="204">
        <v>31471</v>
      </c>
      <c r="I175" s="204">
        <v>148747</v>
      </c>
      <c r="J175" s="210">
        <v>15</v>
      </c>
      <c r="K175" s="275">
        <v>24.668259291952289</v>
      </c>
      <c r="L175" s="287"/>
    </row>
    <row r="176" spans="1:12" x14ac:dyDescent="0.15">
      <c r="A176" s="86" t="s">
        <v>789</v>
      </c>
      <c r="B176" s="86" t="s">
        <v>1332</v>
      </c>
      <c r="C176" s="204">
        <v>178.06</v>
      </c>
      <c r="D176" s="86" t="s">
        <v>266</v>
      </c>
      <c r="E176" s="86" t="s">
        <v>1175</v>
      </c>
      <c r="F176" s="86" t="s">
        <v>1154</v>
      </c>
      <c r="G176" s="204">
        <v>7897</v>
      </c>
      <c r="H176" s="204">
        <v>4598</v>
      </c>
      <c r="I176" s="204">
        <v>127505</v>
      </c>
      <c r="J176" s="210">
        <v>2</v>
      </c>
      <c r="K176" s="275">
        <v>-48.969822257048293</v>
      </c>
      <c r="L176" s="287"/>
    </row>
    <row r="177" spans="1:12" x14ac:dyDescent="0.15">
      <c r="A177" s="86" t="s">
        <v>325</v>
      </c>
      <c r="B177" s="86" t="s">
        <v>1333</v>
      </c>
      <c r="C177" s="204">
        <v>115.41</v>
      </c>
      <c r="D177" s="86" t="s">
        <v>266</v>
      </c>
      <c r="E177" s="86" t="s">
        <v>1175</v>
      </c>
      <c r="F177" s="86" t="s">
        <v>1154</v>
      </c>
      <c r="G177" s="204">
        <v>2644</v>
      </c>
      <c r="H177" s="204">
        <v>3602</v>
      </c>
      <c r="I177" s="204">
        <v>54731</v>
      </c>
      <c r="J177" s="210">
        <v>3</v>
      </c>
      <c r="K177" s="275">
        <v>-3523.5036993577191</v>
      </c>
      <c r="L177" s="287"/>
    </row>
    <row r="178" spans="1:12" x14ac:dyDescent="0.15">
      <c r="A178" s="86" t="s">
        <v>1753</v>
      </c>
      <c r="B178" s="86" t="s">
        <v>1757</v>
      </c>
      <c r="C178" s="204">
        <v>112.69</v>
      </c>
      <c r="D178" s="86" t="s">
        <v>266</v>
      </c>
      <c r="E178" s="86" t="s">
        <v>1175</v>
      </c>
      <c r="F178" s="86" t="s">
        <v>1154</v>
      </c>
      <c r="G178" s="204">
        <v>7133</v>
      </c>
      <c r="H178" s="204">
        <v>3409</v>
      </c>
      <c r="I178" s="204">
        <v>32515</v>
      </c>
      <c r="J178" s="210">
        <v>2</v>
      </c>
      <c r="K178" s="275">
        <v>-37.918259903693773</v>
      </c>
      <c r="L178" s="287"/>
    </row>
    <row r="179" spans="1:12" x14ac:dyDescent="0.15">
      <c r="A179" s="86" t="s">
        <v>326</v>
      </c>
      <c r="B179" s="86" t="s">
        <v>1334</v>
      </c>
      <c r="C179" s="204">
        <v>59.89</v>
      </c>
      <c r="D179" s="86" t="s">
        <v>266</v>
      </c>
      <c r="E179" s="86" t="s">
        <v>1175</v>
      </c>
      <c r="F179" s="86" t="s">
        <v>1154</v>
      </c>
      <c r="G179" s="204">
        <v>1615</v>
      </c>
      <c r="H179" s="204">
        <v>1349</v>
      </c>
      <c r="I179" s="204">
        <v>28150</v>
      </c>
      <c r="J179" s="210">
        <v>3</v>
      </c>
      <c r="K179" s="275">
        <v>-155162.0301297133</v>
      </c>
      <c r="L179" s="287"/>
    </row>
    <row r="180" spans="1:12" x14ac:dyDescent="0.15">
      <c r="A180" s="86" t="s">
        <v>327</v>
      </c>
      <c r="B180" s="86" t="s">
        <v>1335</v>
      </c>
      <c r="C180" s="204">
        <v>174</v>
      </c>
      <c r="D180" s="86" t="s">
        <v>266</v>
      </c>
      <c r="E180" s="86" t="s">
        <v>1175</v>
      </c>
      <c r="F180" s="86" t="s">
        <v>1154</v>
      </c>
      <c r="G180" s="204">
        <v>3080</v>
      </c>
      <c r="H180" s="204">
        <v>3188</v>
      </c>
      <c r="I180" s="204">
        <v>108404</v>
      </c>
      <c r="J180" s="210">
        <v>2</v>
      </c>
      <c r="K180" s="275">
        <v>10.987953678817652</v>
      </c>
      <c r="L180" s="287"/>
    </row>
    <row r="181" spans="1:12" x14ac:dyDescent="0.15">
      <c r="A181" s="86" t="s">
        <v>328</v>
      </c>
      <c r="B181" s="86" t="s">
        <v>1336</v>
      </c>
      <c r="C181" s="204">
        <v>63.12</v>
      </c>
      <c r="D181" s="86" t="s">
        <v>266</v>
      </c>
      <c r="E181" s="86" t="s">
        <v>1175</v>
      </c>
      <c r="F181" s="86" t="s">
        <v>1154</v>
      </c>
      <c r="G181" s="204">
        <v>4766</v>
      </c>
      <c r="H181" s="204">
        <v>3705</v>
      </c>
      <c r="I181" s="204">
        <v>39543</v>
      </c>
      <c r="J181" s="210">
        <v>4</v>
      </c>
      <c r="K181" s="275">
        <v>-57.748964628372157</v>
      </c>
      <c r="L181" s="287"/>
    </row>
    <row r="182" spans="1:12" x14ac:dyDescent="0.15">
      <c r="A182" s="86" t="s">
        <v>584</v>
      </c>
      <c r="B182" s="86" t="s">
        <v>1337</v>
      </c>
      <c r="C182" s="204">
        <v>152.74</v>
      </c>
      <c r="D182" s="86" t="s">
        <v>266</v>
      </c>
      <c r="E182" s="86" t="s">
        <v>1175</v>
      </c>
      <c r="F182" s="86" t="s">
        <v>1154</v>
      </c>
      <c r="H182" s="204">
        <v>6988</v>
      </c>
      <c r="I182" s="204">
        <v>44404</v>
      </c>
      <c r="J182" s="210">
        <v>4</v>
      </c>
      <c r="K182" s="275">
        <v>-104.52904545704502</v>
      </c>
      <c r="L182" s="287"/>
    </row>
    <row r="183" spans="1:12" x14ac:dyDescent="0.15">
      <c r="A183" s="86" t="s">
        <v>329</v>
      </c>
      <c r="B183" s="86" t="s">
        <v>1338</v>
      </c>
      <c r="C183" s="204">
        <v>65.260000000000005</v>
      </c>
      <c r="D183" s="86" t="s">
        <v>266</v>
      </c>
      <c r="E183" s="86" t="s">
        <v>1175</v>
      </c>
      <c r="F183" s="86" t="s">
        <v>1292</v>
      </c>
      <c r="G183" s="204">
        <v>6943</v>
      </c>
      <c r="H183" s="204">
        <v>1135</v>
      </c>
      <c r="I183" s="204">
        <v>36749</v>
      </c>
      <c r="J183" s="210">
        <v>1</v>
      </c>
      <c r="K183" s="275">
        <v>-33.150150403212649</v>
      </c>
      <c r="L183" s="287"/>
    </row>
    <row r="184" spans="1:12" x14ac:dyDescent="0.15">
      <c r="A184" s="86" t="s">
        <v>1883</v>
      </c>
      <c r="B184" s="86" t="s">
        <v>1884</v>
      </c>
      <c r="C184" s="204">
        <v>65.09</v>
      </c>
      <c r="D184" s="86" t="s">
        <v>266</v>
      </c>
      <c r="E184" s="86" t="s">
        <v>1175</v>
      </c>
      <c r="F184" s="86" t="s">
        <v>1292</v>
      </c>
      <c r="G184" s="204">
        <v>6948</v>
      </c>
      <c r="I184" s="204">
        <v>14626</v>
      </c>
      <c r="K184" s="275">
        <v>72.890676476623241</v>
      </c>
      <c r="L184" s="287"/>
    </row>
    <row r="185" spans="1:12" x14ac:dyDescent="0.15">
      <c r="A185" s="86" t="s">
        <v>1754</v>
      </c>
      <c r="B185" s="86" t="s">
        <v>1758</v>
      </c>
      <c r="C185" s="204">
        <v>120.85</v>
      </c>
      <c r="D185" s="86" t="s">
        <v>266</v>
      </c>
      <c r="E185" s="86" t="s">
        <v>1175</v>
      </c>
      <c r="F185" s="86" t="s">
        <v>1292</v>
      </c>
      <c r="G185" s="204">
        <v>7144</v>
      </c>
      <c r="H185" s="204">
        <v>3378</v>
      </c>
      <c r="I185" s="204">
        <v>27907</v>
      </c>
      <c r="J185" s="210">
        <v>2</v>
      </c>
      <c r="K185" s="275">
        <v>-526.75672616180896</v>
      </c>
      <c r="L185" s="287"/>
    </row>
    <row r="186" spans="1:12" x14ac:dyDescent="0.15">
      <c r="A186" s="86" t="s">
        <v>349</v>
      </c>
      <c r="B186" s="86" t="s">
        <v>1339</v>
      </c>
      <c r="C186" s="204">
        <v>83.45</v>
      </c>
      <c r="D186" s="86" t="s">
        <v>266</v>
      </c>
      <c r="E186" s="86" t="s">
        <v>1175</v>
      </c>
      <c r="F186" s="86" t="s">
        <v>1292</v>
      </c>
      <c r="G186" s="204">
        <v>3580</v>
      </c>
      <c r="H186" s="204">
        <v>5241</v>
      </c>
      <c r="I186" s="204">
        <v>38896</v>
      </c>
      <c r="J186" s="210">
        <v>4</v>
      </c>
      <c r="K186" s="275">
        <v>9.2322854322143257</v>
      </c>
      <c r="L186" s="287"/>
    </row>
    <row r="187" spans="1:12" x14ac:dyDescent="0.15">
      <c r="A187" s="86" t="s">
        <v>1712</v>
      </c>
      <c r="B187" s="86" t="s">
        <v>1713</v>
      </c>
      <c r="C187" s="204">
        <v>59.05</v>
      </c>
      <c r="D187" s="86" t="s">
        <v>266</v>
      </c>
      <c r="E187" s="86" t="s">
        <v>1175</v>
      </c>
      <c r="F187" s="86" t="s">
        <v>1154</v>
      </c>
      <c r="G187" s="204">
        <v>29609</v>
      </c>
      <c r="H187" s="204">
        <v>1020</v>
      </c>
      <c r="I187" s="204">
        <v>19131</v>
      </c>
      <c r="J187" s="210">
        <v>1</v>
      </c>
      <c r="K187" s="275">
        <v>-61.976019199388311</v>
      </c>
      <c r="L187" s="287"/>
    </row>
    <row r="188" spans="1:12" x14ac:dyDescent="0.15">
      <c r="A188" s="86" t="s">
        <v>370</v>
      </c>
      <c r="B188" s="86" t="s">
        <v>1340</v>
      </c>
      <c r="C188" s="204">
        <v>88.92</v>
      </c>
      <c r="D188" s="86" t="s">
        <v>266</v>
      </c>
      <c r="E188" s="86" t="s">
        <v>1175</v>
      </c>
      <c r="F188" s="86" t="s">
        <v>1154</v>
      </c>
      <c r="G188" s="204">
        <v>9712</v>
      </c>
      <c r="H188" s="204">
        <v>8010</v>
      </c>
      <c r="I188" s="204">
        <v>36316</v>
      </c>
      <c r="J188" s="210">
        <v>3</v>
      </c>
      <c r="K188" s="275">
        <v>21.302784650209773</v>
      </c>
      <c r="L188" s="287"/>
    </row>
    <row r="189" spans="1:12" x14ac:dyDescent="0.15">
      <c r="A189" s="86" t="s">
        <v>375</v>
      </c>
      <c r="B189" s="86" t="s">
        <v>1341</v>
      </c>
      <c r="C189" s="204">
        <v>201.74</v>
      </c>
      <c r="D189" s="86" t="s">
        <v>266</v>
      </c>
      <c r="E189" s="86" t="s">
        <v>1175</v>
      </c>
      <c r="F189" s="86" t="s">
        <v>1154</v>
      </c>
      <c r="G189" s="204">
        <v>9651</v>
      </c>
      <c r="I189" s="204">
        <v>53801</v>
      </c>
      <c r="K189" s="275">
        <v>2.3466666882236531</v>
      </c>
      <c r="L189" s="287"/>
    </row>
    <row r="190" spans="1:12" x14ac:dyDescent="0.15">
      <c r="A190" s="86" t="s">
        <v>634</v>
      </c>
      <c r="B190" s="86" t="s">
        <v>1342</v>
      </c>
      <c r="C190" s="204">
        <v>218</v>
      </c>
      <c r="D190" s="86" t="s">
        <v>266</v>
      </c>
      <c r="E190" s="86" t="s">
        <v>1175</v>
      </c>
      <c r="F190" s="86" t="s">
        <v>1154</v>
      </c>
      <c r="G190" s="204">
        <v>5340</v>
      </c>
      <c r="H190" s="204">
        <v>35556</v>
      </c>
      <c r="I190" s="204">
        <v>284743</v>
      </c>
      <c r="J190" s="210">
        <v>23</v>
      </c>
      <c r="K190" s="275">
        <v>-4.0854043308451882</v>
      </c>
      <c r="L190" s="287"/>
    </row>
    <row r="191" spans="1:12" x14ac:dyDescent="0.15">
      <c r="A191" s="86" t="s">
        <v>641</v>
      </c>
      <c r="B191" s="86" t="s">
        <v>1343</v>
      </c>
      <c r="C191" s="204">
        <v>95</v>
      </c>
      <c r="D191" s="86" t="s">
        <v>266</v>
      </c>
      <c r="E191" s="86" t="s">
        <v>1175</v>
      </c>
      <c r="F191" s="86" t="s">
        <v>1154</v>
      </c>
      <c r="G191" s="204">
        <v>7706</v>
      </c>
      <c r="H191" s="204">
        <v>933</v>
      </c>
      <c r="I191" s="204">
        <v>51653</v>
      </c>
      <c r="J191" s="210">
        <v>1</v>
      </c>
      <c r="K191" s="275">
        <v>7.8378822094366862</v>
      </c>
      <c r="L191" s="287"/>
    </row>
    <row r="192" spans="1:12" x14ac:dyDescent="0.15">
      <c r="A192" s="86" t="s">
        <v>594</v>
      </c>
      <c r="B192" s="86" t="s">
        <v>1344</v>
      </c>
      <c r="C192" s="204">
        <v>72</v>
      </c>
      <c r="D192" s="86" t="s">
        <v>266</v>
      </c>
      <c r="E192" s="86" t="s">
        <v>1175</v>
      </c>
      <c r="F192" s="86" t="s">
        <v>1292</v>
      </c>
      <c r="G192" s="204">
        <v>3955</v>
      </c>
      <c r="H192" s="204">
        <v>6041</v>
      </c>
      <c r="I192" s="204">
        <v>104725</v>
      </c>
      <c r="J192" s="210">
        <v>6</v>
      </c>
      <c r="K192" s="275">
        <v>-42.581215113895965</v>
      </c>
      <c r="L192" s="287"/>
    </row>
    <row r="193" spans="1:12" x14ac:dyDescent="0.15">
      <c r="A193" s="86" t="s">
        <v>621</v>
      </c>
      <c r="B193" s="86" t="s">
        <v>1345</v>
      </c>
      <c r="C193" s="204">
        <v>88</v>
      </c>
      <c r="D193" s="86" t="s">
        <v>266</v>
      </c>
      <c r="E193" s="86" t="s">
        <v>1175</v>
      </c>
      <c r="F193" s="86" t="s">
        <v>1292</v>
      </c>
      <c r="G193" s="204">
        <v>4096</v>
      </c>
      <c r="H193" s="204">
        <v>2932</v>
      </c>
      <c r="I193" s="204">
        <v>49219</v>
      </c>
      <c r="J193" s="210">
        <v>7</v>
      </c>
      <c r="K193" s="275">
        <v>-149.40496287813602</v>
      </c>
      <c r="L193" s="287"/>
    </row>
    <row r="194" spans="1:12" x14ac:dyDescent="0.15">
      <c r="A194" s="86" t="s">
        <v>808</v>
      </c>
      <c r="B194" s="86" t="s">
        <v>1346</v>
      </c>
      <c r="C194" s="204">
        <v>25.4</v>
      </c>
      <c r="D194" s="86" t="s">
        <v>266</v>
      </c>
      <c r="E194" s="86" t="s">
        <v>1208</v>
      </c>
      <c r="F194" s="86" t="s">
        <v>1209</v>
      </c>
      <c r="G194" s="204">
        <v>200</v>
      </c>
      <c r="H194" s="204">
        <v>1112</v>
      </c>
      <c r="I194" s="204">
        <v>10110.9</v>
      </c>
      <c r="J194" s="210">
        <v>4</v>
      </c>
      <c r="K194" s="275">
        <v>-401.50247512920407</v>
      </c>
      <c r="L194" s="287"/>
    </row>
    <row r="195" spans="1:12" x14ac:dyDescent="0.15">
      <c r="A195" s="86" t="s">
        <v>330</v>
      </c>
      <c r="B195" s="86" t="s">
        <v>271</v>
      </c>
      <c r="C195" s="204">
        <v>13</v>
      </c>
      <c r="D195" s="86" t="s">
        <v>266</v>
      </c>
      <c r="E195" s="86" t="s">
        <v>1175</v>
      </c>
      <c r="F195" s="86" t="s">
        <v>1204</v>
      </c>
      <c r="G195" s="204">
        <v>789</v>
      </c>
      <c r="H195" s="204">
        <v>1204</v>
      </c>
      <c r="I195" s="204">
        <v>7163</v>
      </c>
      <c r="J195" s="210">
        <v>5</v>
      </c>
      <c r="K195" s="275">
        <v>1.2247975448517967</v>
      </c>
      <c r="L195" s="287"/>
    </row>
    <row r="196" spans="1:12" x14ac:dyDescent="0.15">
      <c r="A196" s="86" t="s">
        <v>331</v>
      </c>
      <c r="B196" s="86" t="s">
        <v>1347</v>
      </c>
      <c r="C196" s="204">
        <v>66</v>
      </c>
      <c r="D196" s="86" t="s">
        <v>266</v>
      </c>
      <c r="E196" s="86" t="s">
        <v>1175</v>
      </c>
      <c r="F196" s="86" t="s">
        <v>1292</v>
      </c>
      <c r="G196" s="204">
        <v>9130</v>
      </c>
      <c r="H196" s="204">
        <v>8491</v>
      </c>
      <c r="I196" s="204">
        <v>81552</v>
      </c>
      <c r="J196" s="210">
        <v>17</v>
      </c>
      <c r="K196" s="275">
        <v>-489.73668707697271</v>
      </c>
      <c r="L196" s="287"/>
    </row>
    <row r="197" spans="1:12" x14ac:dyDescent="0.15">
      <c r="A197" s="86" t="s">
        <v>511</v>
      </c>
      <c r="B197" s="86" t="s">
        <v>1348</v>
      </c>
      <c r="C197" s="204">
        <v>10</v>
      </c>
      <c r="D197" s="86" t="s">
        <v>266</v>
      </c>
      <c r="E197" s="86" t="s">
        <v>1175</v>
      </c>
      <c r="F197" s="86" t="s">
        <v>1204</v>
      </c>
      <c r="G197" s="204">
        <v>359</v>
      </c>
      <c r="I197" s="204">
        <v>1441</v>
      </c>
      <c r="K197" s="275">
        <v>40.356957147153381</v>
      </c>
      <c r="L197" s="287"/>
    </row>
    <row r="198" spans="1:12" x14ac:dyDescent="0.15">
      <c r="A198" s="86" t="s">
        <v>565</v>
      </c>
      <c r="B198" s="86" t="s">
        <v>1349</v>
      </c>
      <c r="C198" s="204">
        <v>65</v>
      </c>
      <c r="D198" s="86" t="s">
        <v>266</v>
      </c>
      <c r="E198" s="86" t="s">
        <v>1175</v>
      </c>
      <c r="F198" s="86" t="s">
        <v>1292</v>
      </c>
      <c r="G198" s="204">
        <v>2792</v>
      </c>
      <c r="H198" s="204">
        <v>3055</v>
      </c>
      <c r="I198" s="204">
        <v>35610</v>
      </c>
      <c r="J198" s="210">
        <v>6</v>
      </c>
      <c r="K198" s="275">
        <v>-2223.1173909143026</v>
      </c>
      <c r="L198" s="287"/>
    </row>
    <row r="199" spans="1:12" x14ac:dyDescent="0.15">
      <c r="A199" s="86" t="s">
        <v>633</v>
      </c>
      <c r="B199" s="86" t="s">
        <v>1350</v>
      </c>
      <c r="C199" s="204">
        <v>46</v>
      </c>
      <c r="D199" s="86" t="s">
        <v>266</v>
      </c>
      <c r="E199" s="86" t="s">
        <v>1175</v>
      </c>
      <c r="F199" s="86" t="s">
        <v>1292</v>
      </c>
      <c r="G199" s="204">
        <v>2447</v>
      </c>
      <c r="H199" s="204">
        <v>4206</v>
      </c>
      <c r="I199" s="204">
        <v>23934</v>
      </c>
      <c r="J199" s="210">
        <v>6</v>
      </c>
      <c r="K199" s="275">
        <v>25.280962421374554</v>
      </c>
      <c r="L199" s="287"/>
    </row>
    <row r="200" spans="1:12" x14ac:dyDescent="0.15">
      <c r="A200" s="86" t="s">
        <v>635</v>
      </c>
      <c r="B200" s="86" t="s">
        <v>1351</v>
      </c>
      <c r="C200" s="204">
        <v>40</v>
      </c>
      <c r="D200" s="86" t="s">
        <v>266</v>
      </c>
      <c r="E200" s="86" t="s">
        <v>1175</v>
      </c>
      <c r="F200" s="86" t="s">
        <v>1292</v>
      </c>
      <c r="G200" s="204">
        <v>1944</v>
      </c>
      <c r="H200" s="204">
        <v>5236</v>
      </c>
      <c r="I200" s="204">
        <v>36432</v>
      </c>
      <c r="J200" s="210">
        <v>7</v>
      </c>
      <c r="K200" s="275">
        <v>27.439674800293691</v>
      </c>
      <c r="L200" s="287"/>
    </row>
    <row r="201" spans="1:12" x14ac:dyDescent="0.15">
      <c r="A201" s="86" t="s">
        <v>632</v>
      </c>
      <c r="B201" s="86" t="s">
        <v>1352</v>
      </c>
      <c r="C201" s="204">
        <v>56</v>
      </c>
      <c r="D201" s="86" t="s">
        <v>266</v>
      </c>
      <c r="E201" s="86" t="s">
        <v>1175</v>
      </c>
      <c r="F201" s="86" t="s">
        <v>1292</v>
      </c>
      <c r="G201" s="204">
        <v>8184</v>
      </c>
      <c r="H201" s="204">
        <v>6490</v>
      </c>
      <c r="I201" s="204">
        <v>55891</v>
      </c>
      <c r="J201" s="210">
        <v>15</v>
      </c>
      <c r="K201" s="275">
        <v>-272.74887861276699</v>
      </c>
      <c r="L201" s="287"/>
    </row>
    <row r="202" spans="1:12" x14ac:dyDescent="0.15">
      <c r="A202" s="86" t="s">
        <v>1009</v>
      </c>
      <c r="B202" s="86" t="s">
        <v>1323</v>
      </c>
      <c r="C202" s="204">
        <v>36</v>
      </c>
      <c r="D202" s="86" t="s">
        <v>266</v>
      </c>
      <c r="E202" s="86" t="s">
        <v>1175</v>
      </c>
      <c r="F202" s="86" t="s">
        <v>1292</v>
      </c>
      <c r="G202" s="204">
        <v>1596</v>
      </c>
      <c r="H202" s="204">
        <v>3996</v>
      </c>
      <c r="I202" s="204">
        <v>21629</v>
      </c>
      <c r="J202" s="210">
        <v>6</v>
      </c>
      <c r="K202" s="275">
        <v>11.380911280327554</v>
      </c>
      <c r="L202" s="287"/>
    </row>
    <row r="203" spans="1:12" x14ac:dyDescent="0.15">
      <c r="A203" s="86" t="s">
        <v>1005</v>
      </c>
      <c r="B203" s="86" t="s">
        <v>1354</v>
      </c>
      <c r="C203" s="204">
        <v>280.75</v>
      </c>
      <c r="D203" s="86" t="s">
        <v>266</v>
      </c>
      <c r="E203" s="86" t="s">
        <v>1175</v>
      </c>
      <c r="F203" s="86" t="s">
        <v>1154</v>
      </c>
      <c r="G203" s="204">
        <v>15000</v>
      </c>
      <c r="H203" s="204">
        <v>15000</v>
      </c>
      <c r="I203" s="204">
        <v>155000</v>
      </c>
      <c r="J203" s="210">
        <v>1</v>
      </c>
      <c r="K203" s="275">
        <v>-52.752523165194653</v>
      </c>
      <c r="L203" s="287"/>
    </row>
    <row r="204" spans="1:12" x14ac:dyDescent="0.15">
      <c r="A204" s="86" t="s">
        <v>1004</v>
      </c>
      <c r="B204" s="86" t="s">
        <v>1353</v>
      </c>
      <c r="C204" s="204">
        <v>400</v>
      </c>
      <c r="D204" s="86" t="s">
        <v>266</v>
      </c>
      <c r="E204" s="86" t="s">
        <v>1175</v>
      </c>
      <c r="F204" s="86" t="s">
        <v>1154</v>
      </c>
      <c r="G204" s="204">
        <v>14907.5</v>
      </c>
      <c r="H204" s="204">
        <v>17894</v>
      </c>
      <c r="I204" s="204">
        <v>207949</v>
      </c>
      <c r="J204" s="210">
        <v>68</v>
      </c>
      <c r="K204" s="275">
        <v>-493.5768670233345</v>
      </c>
      <c r="L204" s="287"/>
    </row>
    <row r="205" spans="1:12" x14ac:dyDescent="0.15">
      <c r="A205" s="86" t="s">
        <v>366</v>
      </c>
      <c r="B205" s="86" t="s">
        <v>1355</v>
      </c>
      <c r="C205" s="204">
        <v>120</v>
      </c>
      <c r="D205" s="86" t="s">
        <v>236</v>
      </c>
      <c r="E205" s="86" t="s">
        <v>1175</v>
      </c>
      <c r="F205" s="86" t="s">
        <v>1154</v>
      </c>
      <c r="G205" s="204">
        <v>6100</v>
      </c>
      <c r="H205" s="204">
        <v>5782</v>
      </c>
      <c r="I205" s="204">
        <v>75040</v>
      </c>
      <c r="J205" s="210">
        <v>9</v>
      </c>
      <c r="K205" s="275">
        <v>-924.64119960281255</v>
      </c>
      <c r="L205" s="287"/>
    </row>
    <row r="206" spans="1:12" x14ac:dyDescent="0.15">
      <c r="A206" s="86" t="s">
        <v>573</v>
      </c>
      <c r="B206" s="86" t="s">
        <v>1356</v>
      </c>
      <c r="C206" s="204">
        <v>181.86</v>
      </c>
      <c r="D206" s="86" t="s">
        <v>236</v>
      </c>
      <c r="E206" s="86" t="s">
        <v>1175</v>
      </c>
      <c r="F206" s="86" t="s">
        <v>1154</v>
      </c>
      <c r="G206" s="204">
        <v>13151</v>
      </c>
      <c r="H206" s="204">
        <v>6572</v>
      </c>
      <c r="I206" s="204">
        <v>138382</v>
      </c>
      <c r="J206" s="210">
        <v>13</v>
      </c>
      <c r="K206" s="275">
        <v>-17.474359877664657</v>
      </c>
      <c r="L206" s="287"/>
    </row>
    <row r="207" spans="1:12" x14ac:dyDescent="0.15">
      <c r="A207" s="86" t="s">
        <v>909</v>
      </c>
      <c r="B207" s="86" t="s">
        <v>1357</v>
      </c>
      <c r="C207" s="204">
        <v>34.28</v>
      </c>
      <c r="D207" s="86" t="s">
        <v>236</v>
      </c>
      <c r="E207" s="86" t="s">
        <v>1175</v>
      </c>
      <c r="F207" s="86" t="s">
        <v>1177</v>
      </c>
      <c r="G207" s="204">
        <v>10077</v>
      </c>
      <c r="H207" s="204">
        <v>10270</v>
      </c>
      <c r="I207" s="204">
        <v>81229</v>
      </c>
      <c r="J207" s="210">
        <v>28</v>
      </c>
      <c r="K207" s="275">
        <v>-13.122849857993323</v>
      </c>
      <c r="L207" s="287"/>
    </row>
    <row r="208" spans="1:12" x14ac:dyDescent="0.15">
      <c r="A208" s="86" t="s">
        <v>245</v>
      </c>
      <c r="B208" s="86" t="s">
        <v>1358</v>
      </c>
      <c r="C208" s="204">
        <v>119.87</v>
      </c>
      <c r="D208" s="86" t="s">
        <v>236</v>
      </c>
      <c r="E208" s="86" t="s">
        <v>1175</v>
      </c>
      <c r="F208" s="86" t="s">
        <v>1154</v>
      </c>
      <c r="G208" s="204">
        <v>13341</v>
      </c>
      <c r="H208" s="204">
        <v>19385</v>
      </c>
      <c r="I208" s="204">
        <v>116832</v>
      </c>
      <c r="J208" s="210">
        <v>14</v>
      </c>
      <c r="K208" s="275">
        <v>-70.92367589174313</v>
      </c>
      <c r="L208" s="287"/>
    </row>
    <row r="209" spans="1:12" x14ac:dyDescent="0.15">
      <c r="A209" s="86" t="s">
        <v>246</v>
      </c>
      <c r="B209" s="199" t="s">
        <v>1359</v>
      </c>
      <c r="C209" s="204">
        <v>146.71</v>
      </c>
      <c r="D209" s="86" t="s">
        <v>236</v>
      </c>
      <c r="E209" s="86" t="s">
        <v>1175</v>
      </c>
      <c r="F209" s="86" t="s">
        <v>1154</v>
      </c>
      <c r="G209" s="204">
        <v>4593</v>
      </c>
      <c r="H209" s="204">
        <v>13196</v>
      </c>
      <c r="I209" s="204">
        <v>115882</v>
      </c>
      <c r="J209" s="210">
        <v>9</v>
      </c>
      <c r="K209" s="275">
        <v>-2382.6372572859755</v>
      </c>
      <c r="L209" s="287"/>
    </row>
    <row r="210" spans="1:12" x14ac:dyDescent="0.15">
      <c r="A210" s="86" t="s">
        <v>629</v>
      </c>
      <c r="B210" s="86" t="s">
        <v>1360</v>
      </c>
      <c r="C210" s="204">
        <v>229.22</v>
      </c>
      <c r="D210" s="86" t="s">
        <v>236</v>
      </c>
      <c r="E210" s="86" t="s">
        <v>1175</v>
      </c>
      <c r="F210" s="86" t="s">
        <v>1154</v>
      </c>
      <c r="G210" s="204">
        <v>16200</v>
      </c>
      <c r="H210" s="204">
        <v>13977</v>
      </c>
      <c r="I210" s="204">
        <v>93653</v>
      </c>
      <c r="J210" s="210">
        <v>14</v>
      </c>
      <c r="K210" s="275">
        <v>-24.166032683603934</v>
      </c>
      <c r="L210" s="287"/>
    </row>
    <row r="211" spans="1:12" x14ac:dyDescent="0.15">
      <c r="A211" s="86" t="s">
        <v>1788</v>
      </c>
      <c r="B211" s="86" t="s">
        <v>1374</v>
      </c>
      <c r="C211" s="204">
        <v>265</v>
      </c>
      <c r="D211" s="86" t="s">
        <v>236</v>
      </c>
      <c r="E211" s="86" t="s">
        <v>1175</v>
      </c>
      <c r="F211" s="86" t="s">
        <v>1154</v>
      </c>
      <c r="G211" s="204">
        <v>7071</v>
      </c>
      <c r="H211" s="204">
        <v>18912</v>
      </c>
      <c r="I211" s="204">
        <v>161927.20000000001</v>
      </c>
      <c r="J211" s="210">
        <v>18</v>
      </c>
      <c r="K211" s="275">
        <v>-488.0764872998929</v>
      </c>
      <c r="L211" s="287"/>
    </row>
    <row r="212" spans="1:12" x14ac:dyDescent="0.15">
      <c r="A212" s="86" t="s">
        <v>1807</v>
      </c>
      <c r="B212" s="86" t="s">
        <v>1804</v>
      </c>
      <c r="C212" s="204">
        <v>265</v>
      </c>
      <c r="D212" s="86" t="s">
        <v>236</v>
      </c>
      <c r="E212" s="86" t="s">
        <v>1175</v>
      </c>
      <c r="F212" s="86" t="s">
        <v>1154</v>
      </c>
      <c r="G212" s="204">
        <v>12454.2</v>
      </c>
      <c r="H212" s="204">
        <v>19056</v>
      </c>
      <c r="I212" s="204">
        <v>181798.2</v>
      </c>
      <c r="J212" s="210">
        <v>15</v>
      </c>
      <c r="K212" s="275">
        <v>-72.21538962246315</v>
      </c>
      <c r="L212" s="287"/>
    </row>
    <row r="213" spans="1:12" x14ac:dyDescent="0.15">
      <c r="A213" s="86" t="s">
        <v>872</v>
      </c>
      <c r="B213" s="86" t="s">
        <v>1361</v>
      </c>
      <c r="C213" s="204">
        <v>126.62</v>
      </c>
      <c r="D213" s="86" t="s">
        <v>236</v>
      </c>
      <c r="E213" s="86" t="s">
        <v>1175</v>
      </c>
      <c r="F213" s="86" t="s">
        <v>1154</v>
      </c>
      <c r="G213" s="204">
        <v>6607</v>
      </c>
      <c r="H213" s="204">
        <v>5211</v>
      </c>
      <c r="I213" s="204">
        <v>81767</v>
      </c>
      <c r="J213" s="210">
        <v>4</v>
      </c>
      <c r="K213" s="275">
        <v>-18.475409914585896</v>
      </c>
      <c r="L213" s="287"/>
    </row>
    <row r="214" spans="1:12" x14ac:dyDescent="0.15">
      <c r="A214" s="86" t="s">
        <v>195</v>
      </c>
      <c r="B214" s="86" t="s">
        <v>1362</v>
      </c>
      <c r="C214" s="204">
        <v>46.2</v>
      </c>
      <c r="D214" s="86" t="s">
        <v>236</v>
      </c>
      <c r="E214" s="86" t="s">
        <v>1175</v>
      </c>
      <c r="F214" s="86" t="s">
        <v>1154</v>
      </c>
      <c r="G214" s="204">
        <v>2587</v>
      </c>
      <c r="H214" s="204">
        <v>4148</v>
      </c>
      <c r="I214" s="204">
        <v>34879</v>
      </c>
      <c r="J214" s="210">
        <v>3</v>
      </c>
      <c r="K214" s="275">
        <v>-10866.525211927803</v>
      </c>
      <c r="L214" s="287"/>
    </row>
    <row r="215" spans="1:12" x14ac:dyDescent="0.15">
      <c r="A215" s="86" t="s">
        <v>850</v>
      </c>
      <c r="B215" s="86" t="s">
        <v>1363</v>
      </c>
      <c r="C215" s="204">
        <v>77.099999999999994</v>
      </c>
      <c r="D215" s="86" t="s">
        <v>236</v>
      </c>
      <c r="E215" s="86" t="s">
        <v>1175</v>
      </c>
      <c r="F215" s="86" t="s">
        <v>1154</v>
      </c>
      <c r="G215" s="204">
        <v>6648</v>
      </c>
      <c r="H215" s="204">
        <v>648</v>
      </c>
      <c r="I215" s="204">
        <v>31389</v>
      </c>
      <c r="J215" s="210">
        <v>1</v>
      </c>
      <c r="K215" s="275">
        <v>6.6172469256232773</v>
      </c>
      <c r="L215" s="287"/>
    </row>
    <row r="216" spans="1:12" x14ac:dyDescent="0.15">
      <c r="A216" s="86" t="s">
        <v>1668</v>
      </c>
      <c r="B216" s="86" t="s">
        <v>1669</v>
      </c>
      <c r="C216" s="204">
        <v>200.8</v>
      </c>
      <c r="D216" s="86" t="s">
        <v>236</v>
      </c>
      <c r="E216" s="86" t="s">
        <v>1175</v>
      </c>
      <c r="F216" s="86" t="s">
        <v>1154</v>
      </c>
      <c r="G216" s="204">
        <v>12091</v>
      </c>
      <c r="H216" s="204">
        <v>6690</v>
      </c>
      <c r="I216" s="204">
        <v>80606</v>
      </c>
      <c r="J216" s="210">
        <v>6</v>
      </c>
      <c r="K216" s="275">
        <v>-246.88879767299144</v>
      </c>
      <c r="L216" s="287"/>
    </row>
    <row r="217" spans="1:12" x14ac:dyDescent="0.15">
      <c r="A217" s="86" t="s">
        <v>196</v>
      </c>
      <c r="B217" s="86" t="s">
        <v>1364</v>
      </c>
      <c r="C217" s="204">
        <v>286.68</v>
      </c>
      <c r="D217" s="86" t="s">
        <v>236</v>
      </c>
      <c r="E217" s="86" t="s">
        <v>1175</v>
      </c>
      <c r="F217" s="86" t="s">
        <v>1154</v>
      </c>
      <c r="G217" s="204">
        <v>3248</v>
      </c>
      <c r="H217" s="204">
        <v>7729.2</v>
      </c>
      <c r="I217" s="204">
        <v>122835.7</v>
      </c>
      <c r="J217" s="210">
        <v>9</v>
      </c>
      <c r="K217" s="275">
        <v>-116.23652529869575</v>
      </c>
      <c r="L217" s="287"/>
    </row>
    <row r="218" spans="1:12" x14ac:dyDescent="0.15">
      <c r="A218" s="86" t="s">
        <v>197</v>
      </c>
      <c r="B218" s="86" t="s">
        <v>1365</v>
      </c>
      <c r="C218" s="204">
        <v>190.65</v>
      </c>
      <c r="D218" s="86" t="s">
        <v>236</v>
      </c>
      <c r="E218" s="86" t="s">
        <v>1175</v>
      </c>
      <c r="F218" s="86" t="s">
        <v>1154</v>
      </c>
      <c r="G218" s="204">
        <v>7002</v>
      </c>
      <c r="H218" s="204">
        <v>3536</v>
      </c>
      <c r="I218" s="204">
        <v>115190</v>
      </c>
      <c r="J218" s="210">
        <v>7</v>
      </c>
      <c r="K218" s="275">
        <v>-16.593519839228431</v>
      </c>
      <c r="L218" s="287"/>
    </row>
    <row r="219" spans="1:12" x14ac:dyDescent="0.15">
      <c r="A219" s="86" t="s">
        <v>628</v>
      </c>
      <c r="B219" s="199" t="s">
        <v>1366</v>
      </c>
      <c r="C219" s="204">
        <v>72.760000000000005</v>
      </c>
      <c r="D219" s="86" t="s">
        <v>236</v>
      </c>
      <c r="E219" s="86" t="s">
        <v>1175</v>
      </c>
      <c r="F219" s="86" t="s">
        <v>1154</v>
      </c>
      <c r="G219" s="204">
        <v>-195</v>
      </c>
      <c r="H219" s="204">
        <v>147</v>
      </c>
      <c r="I219" s="204">
        <v>34044</v>
      </c>
      <c r="J219" s="210">
        <v>2</v>
      </c>
      <c r="K219" s="275">
        <v>19.077363355985465</v>
      </c>
      <c r="L219" s="287"/>
    </row>
    <row r="220" spans="1:12" x14ac:dyDescent="0.15">
      <c r="A220" s="86" t="s">
        <v>332</v>
      </c>
      <c r="B220" s="86" t="s">
        <v>273</v>
      </c>
      <c r="C220" s="204">
        <v>53.78</v>
      </c>
      <c r="D220" s="86" t="s">
        <v>236</v>
      </c>
      <c r="E220" s="86" t="s">
        <v>1208</v>
      </c>
      <c r="F220" s="86" t="s">
        <v>1209</v>
      </c>
      <c r="G220" s="204">
        <v>2193</v>
      </c>
      <c r="H220" s="204">
        <v>2122</v>
      </c>
      <c r="I220" s="204">
        <v>21426</v>
      </c>
      <c r="J220" s="210">
        <v>3</v>
      </c>
      <c r="K220" s="275">
        <v>-65.682974447603357</v>
      </c>
      <c r="L220" s="287"/>
    </row>
    <row r="221" spans="1:12" x14ac:dyDescent="0.15">
      <c r="A221" s="86" t="s">
        <v>589</v>
      </c>
      <c r="B221" s="86" t="s">
        <v>1367</v>
      </c>
      <c r="C221" s="204">
        <v>87.99</v>
      </c>
      <c r="D221" s="86" t="s">
        <v>236</v>
      </c>
      <c r="E221" s="86" t="s">
        <v>1175</v>
      </c>
      <c r="F221" s="86" t="s">
        <v>1154</v>
      </c>
      <c r="G221" s="204">
        <v>7095</v>
      </c>
      <c r="H221" s="204">
        <v>6353</v>
      </c>
      <c r="I221" s="204">
        <v>56446</v>
      </c>
      <c r="J221" s="210">
        <v>6</v>
      </c>
      <c r="K221" s="275">
        <v>-125.06348394821902</v>
      </c>
      <c r="L221" s="287"/>
    </row>
    <row r="222" spans="1:12" x14ac:dyDescent="0.15">
      <c r="A222" s="86" t="s">
        <v>1156</v>
      </c>
      <c r="B222" s="86" t="s">
        <v>1158</v>
      </c>
      <c r="C222" s="204">
        <v>100</v>
      </c>
      <c r="D222" s="86" t="s">
        <v>236</v>
      </c>
      <c r="E222" s="86" t="s">
        <v>1175</v>
      </c>
      <c r="F222" s="86" t="s">
        <v>1154</v>
      </c>
      <c r="G222" s="204">
        <v>3860</v>
      </c>
      <c r="H222" s="204">
        <v>3541</v>
      </c>
      <c r="I222" s="204">
        <v>36730</v>
      </c>
      <c r="J222" s="210">
        <v>3</v>
      </c>
      <c r="K222" s="275">
        <v>-306.6776430204136</v>
      </c>
      <c r="L222" s="287"/>
    </row>
    <row r="223" spans="1:12" x14ac:dyDescent="0.15">
      <c r="A223" s="86" t="s">
        <v>1838</v>
      </c>
      <c r="B223" s="86" t="s">
        <v>1839</v>
      </c>
      <c r="C223" s="204">
        <v>86.5</v>
      </c>
      <c r="D223" s="86" t="s">
        <v>236</v>
      </c>
      <c r="E223" s="86" t="s">
        <v>1175</v>
      </c>
      <c r="F223" s="86" t="s">
        <v>1154</v>
      </c>
      <c r="G223" s="204">
        <v>2777</v>
      </c>
      <c r="H223" s="204">
        <v>5060</v>
      </c>
      <c r="I223" s="204">
        <v>44372</v>
      </c>
      <c r="J223" s="210">
        <v>4</v>
      </c>
      <c r="K223" s="275">
        <v>-61.174633480340802</v>
      </c>
      <c r="L223" s="287"/>
    </row>
    <row r="224" spans="1:12" x14ac:dyDescent="0.15">
      <c r="A224" s="86" t="s">
        <v>659</v>
      </c>
      <c r="B224" s="86" t="s">
        <v>1368</v>
      </c>
      <c r="C224" s="204">
        <v>137.53</v>
      </c>
      <c r="D224" s="86" t="s">
        <v>236</v>
      </c>
      <c r="E224" s="86" t="s">
        <v>1175</v>
      </c>
      <c r="F224" s="86" t="s">
        <v>1154</v>
      </c>
      <c r="H224" s="204">
        <v>1634</v>
      </c>
      <c r="I224" s="204">
        <v>57642</v>
      </c>
      <c r="J224" s="210">
        <v>3</v>
      </c>
      <c r="K224" s="275">
        <v>1.021601994168897E-2</v>
      </c>
      <c r="L224" s="287"/>
    </row>
    <row r="225" spans="1:12" x14ac:dyDescent="0.15">
      <c r="A225" s="86" t="s">
        <v>524</v>
      </c>
      <c r="B225" s="86" t="s">
        <v>1369</v>
      </c>
      <c r="C225" s="204">
        <v>73.760000000000005</v>
      </c>
      <c r="D225" s="86" t="s">
        <v>236</v>
      </c>
      <c r="E225" s="86" t="s">
        <v>1175</v>
      </c>
      <c r="F225" s="86" t="s">
        <v>1154</v>
      </c>
      <c r="G225" s="204">
        <v>1274</v>
      </c>
      <c r="H225" s="204">
        <v>700</v>
      </c>
      <c r="I225" s="204">
        <v>32963</v>
      </c>
      <c r="J225" s="210">
        <v>2</v>
      </c>
      <c r="K225" s="275">
        <v>6.9383179635385535</v>
      </c>
      <c r="L225" s="287"/>
    </row>
    <row r="226" spans="1:12" x14ac:dyDescent="0.15">
      <c r="A226" s="86" t="s">
        <v>618</v>
      </c>
      <c r="B226" s="86" t="s">
        <v>1370</v>
      </c>
      <c r="C226" s="204">
        <v>276</v>
      </c>
      <c r="D226" s="86" t="s">
        <v>236</v>
      </c>
      <c r="E226" s="86" t="s">
        <v>1175</v>
      </c>
      <c r="F226" s="86" t="s">
        <v>1154</v>
      </c>
      <c r="G226" s="204">
        <v>31074</v>
      </c>
      <c r="H226" s="204">
        <v>30855</v>
      </c>
      <c r="I226" s="204">
        <v>328565</v>
      </c>
      <c r="J226" s="210">
        <v>22</v>
      </c>
      <c r="K226" s="275">
        <v>-67.637933626711003</v>
      </c>
      <c r="L226" s="287"/>
    </row>
    <row r="227" spans="1:12" x14ac:dyDescent="0.15">
      <c r="A227" s="86" t="s">
        <v>1780</v>
      </c>
      <c r="B227" s="199" t="s">
        <v>1782</v>
      </c>
      <c r="C227" s="204">
        <v>62</v>
      </c>
      <c r="D227" s="86" t="s">
        <v>236</v>
      </c>
      <c r="E227" s="86" t="s">
        <v>1175</v>
      </c>
      <c r="F227" s="86" t="s">
        <v>1154</v>
      </c>
      <c r="G227" s="204">
        <v>1119</v>
      </c>
      <c r="H227" s="204">
        <v>778</v>
      </c>
      <c r="I227" s="204">
        <v>54234</v>
      </c>
      <c r="J227" s="210">
        <v>1</v>
      </c>
      <c r="K227" s="275">
        <v>-30.138571678972561</v>
      </c>
      <c r="L227" s="287"/>
    </row>
    <row r="228" spans="1:12" x14ac:dyDescent="0.15">
      <c r="A228" s="86" t="s">
        <v>882</v>
      </c>
      <c r="B228" s="86" t="s">
        <v>1372</v>
      </c>
      <c r="C228" s="204">
        <v>116.7</v>
      </c>
      <c r="D228" s="86" t="s">
        <v>236</v>
      </c>
      <c r="E228" s="86" t="s">
        <v>1175</v>
      </c>
      <c r="F228" s="86" t="s">
        <v>1154</v>
      </c>
      <c r="G228" s="204">
        <v>19141</v>
      </c>
      <c r="H228" s="204">
        <v>4590</v>
      </c>
      <c r="I228" s="204">
        <v>67946</v>
      </c>
      <c r="J228" s="210">
        <v>4</v>
      </c>
      <c r="K228" s="275">
        <v>-60.629222819211947</v>
      </c>
      <c r="L228" s="287"/>
    </row>
    <row r="229" spans="1:12" x14ac:dyDescent="0.15">
      <c r="A229" s="86" t="s">
        <v>1794</v>
      </c>
      <c r="B229" s="86" t="s">
        <v>1796</v>
      </c>
      <c r="C229" s="204">
        <v>85</v>
      </c>
      <c r="D229" s="86" t="s">
        <v>236</v>
      </c>
      <c r="E229" s="86" t="s">
        <v>1175</v>
      </c>
      <c r="F229" s="86" t="s">
        <v>1154</v>
      </c>
      <c r="G229" s="204">
        <v>4825</v>
      </c>
      <c r="H229" s="204">
        <v>5567</v>
      </c>
      <c r="I229" s="204">
        <v>41003</v>
      </c>
      <c r="J229" s="210">
        <v>7</v>
      </c>
      <c r="K229" s="275">
        <v>-8.8159925968682487</v>
      </c>
      <c r="L229" s="287"/>
    </row>
    <row r="230" spans="1:12" x14ac:dyDescent="0.15">
      <c r="A230" s="86" t="s">
        <v>1803</v>
      </c>
      <c r="B230" s="86" t="s">
        <v>1804</v>
      </c>
      <c r="C230" s="204">
        <v>239.887</v>
      </c>
      <c r="D230" s="86" t="s">
        <v>236</v>
      </c>
      <c r="E230" s="86" t="s">
        <v>1175</v>
      </c>
      <c r="F230" s="86" t="s">
        <v>1154</v>
      </c>
      <c r="L230" s="287"/>
    </row>
    <row r="231" spans="1:12" x14ac:dyDescent="0.15">
      <c r="A231" s="86" t="s">
        <v>786</v>
      </c>
      <c r="B231" s="86" t="s">
        <v>1373</v>
      </c>
      <c r="C231" s="204">
        <v>119.71</v>
      </c>
      <c r="D231" s="86" t="s">
        <v>236</v>
      </c>
      <c r="E231" s="86" t="s">
        <v>1175</v>
      </c>
      <c r="F231" s="86" t="s">
        <v>1154</v>
      </c>
      <c r="G231" s="204">
        <v>719</v>
      </c>
      <c r="H231" s="204">
        <v>1818</v>
      </c>
      <c r="I231" s="204">
        <v>33483</v>
      </c>
      <c r="J231" s="210">
        <v>3</v>
      </c>
      <c r="K231" s="275">
        <v>-29.925795183618909</v>
      </c>
      <c r="L231" s="287"/>
    </row>
    <row r="232" spans="1:12" x14ac:dyDescent="0.15">
      <c r="A232" s="86" t="s">
        <v>1799</v>
      </c>
      <c r="B232" s="86" t="s">
        <v>1800</v>
      </c>
      <c r="C232" s="204">
        <v>105</v>
      </c>
      <c r="D232" s="86" t="s">
        <v>236</v>
      </c>
      <c r="E232" s="86" t="s">
        <v>1175</v>
      </c>
      <c r="F232" s="86" t="s">
        <v>1154</v>
      </c>
      <c r="G232" s="204">
        <v>9937</v>
      </c>
      <c r="H232" s="204">
        <v>6115</v>
      </c>
      <c r="I232" s="204">
        <v>39495</v>
      </c>
      <c r="J232" s="210">
        <v>6</v>
      </c>
      <c r="K232" s="275">
        <v>-1019.4265134323874</v>
      </c>
      <c r="L232" s="287"/>
    </row>
    <row r="233" spans="1:12" x14ac:dyDescent="0.15">
      <c r="A233" s="86" t="s">
        <v>1792</v>
      </c>
      <c r="B233" s="86" t="s">
        <v>1795</v>
      </c>
      <c r="C233" s="204">
        <v>100</v>
      </c>
      <c r="D233" s="86" t="s">
        <v>236</v>
      </c>
      <c r="E233" s="86" t="s">
        <v>1175</v>
      </c>
      <c r="F233" s="86" t="s">
        <v>1154</v>
      </c>
      <c r="G233" s="204">
        <v>3430</v>
      </c>
      <c r="H233" s="204">
        <v>5116</v>
      </c>
      <c r="I233" s="204">
        <v>45851</v>
      </c>
      <c r="J233" s="210">
        <v>8</v>
      </c>
      <c r="K233" s="275">
        <v>-112.44239176452426</v>
      </c>
      <c r="L233" s="287"/>
    </row>
    <row r="234" spans="1:12" x14ac:dyDescent="0.15">
      <c r="A234" s="86" t="s">
        <v>1815</v>
      </c>
      <c r="B234" s="86" t="s">
        <v>1818</v>
      </c>
      <c r="C234" s="204">
        <v>36</v>
      </c>
      <c r="D234" s="86" t="s">
        <v>236</v>
      </c>
      <c r="E234" s="86" t="s">
        <v>1175</v>
      </c>
      <c r="F234" s="86" t="s">
        <v>1154</v>
      </c>
      <c r="G234" s="204">
        <v>4059</v>
      </c>
      <c r="H234" s="204">
        <v>1431</v>
      </c>
      <c r="I234" s="204">
        <v>34119</v>
      </c>
      <c r="J234" s="210">
        <v>7</v>
      </c>
      <c r="K234" s="275">
        <v>0</v>
      </c>
      <c r="L234" s="287"/>
    </row>
    <row r="235" spans="1:12" x14ac:dyDescent="0.15">
      <c r="A235" s="86" t="s">
        <v>1842</v>
      </c>
      <c r="B235" s="86" t="s">
        <v>1843</v>
      </c>
      <c r="C235" s="204">
        <v>103</v>
      </c>
      <c r="D235" s="86" t="s">
        <v>236</v>
      </c>
      <c r="E235" s="86" t="s">
        <v>1175</v>
      </c>
      <c r="F235" s="86" t="s">
        <v>1154</v>
      </c>
      <c r="G235" s="204">
        <v>13676</v>
      </c>
      <c r="H235" s="204">
        <v>4719</v>
      </c>
      <c r="I235" s="204">
        <v>33377</v>
      </c>
      <c r="J235" s="210">
        <v>5</v>
      </c>
      <c r="K235" s="275">
        <v>-202.92388943515007</v>
      </c>
      <c r="L235" s="287"/>
    </row>
    <row r="236" spans="1:12" x14ac:dyDescent="0.15">
      <c r="A236" s="86" t="s">
        <v>198</v>
      </c>
      <c r="B236" s="86" t="s">
        <v>1375</v>
      </c>
      <c r="C236" s="204">
        <v>67.989999999999995</v>
      </c>
      <c r="D236" s="86" t="s">
        <v>236</v>
      </c>
      <c r="E236" s="86" t="s">
        <v>1175</v>
      </c>
      <c r="F236" s="86" t="s">
        <v>1204</v>
      </c>
      <c r="G236" s="204">
        <v>3772.1</v>
      </c>
      <c r="H236" s="204">
        <v>1357.3</v>
      </c>
      <c r="I236" s="204">
        <v>47956.7</v>
      </c>
      <c r="J236" s="210">
        <v>2</v>
      </c>
      <c r="K236" s="275">
        <v>16.173968295362318</v>
      </c>
      <c r="L236" s="287"/>
    </row>
    <row r="237" spans="1:12" x14ac:dyDescent="0.15">
      <c r="A237" s="86" t="s">
        <v>308</v>
      </c>
      <c r="B237" s="86" t="s">
        <v>1376</v>
      </c>
      <c r="C237" s="204">
        <v>126.69</v>
      </c>
      <c r="D237" s="86" t="s">
        <v>236</v>
      </c>
      <c r="E237" s="86" t="s">
        <v>1175</v>
      </c>
      <c r="F237" s="86" t="s">
        <v>1154</v>
      </c>
      <c r="G237" s="204">
        <v>12383</v>
      </c>
      <c r="H237" s="204">
        <v>1957</v>
      </c>
      <c r="I237" s="204">
        <v>99651</v>
      </c>
      <c r="J237" s="210">
        <v>4</v>
      </c>
      <c r="K237" s="275">
        <v>-42.395328191067549</v>
      </c>
      <c r="L237" s="287"/>
    </row>
    <row r="238" spans="1:12" x14ac:dyDescent="0.15">
      <c r="A238" s="86" t="s">
        <v>280</v>
      </c>
      <c r="B238" s="86" t="s">
        <v>1377</v>
      </c>
      <c r="C238" s="204">
        <v>12.47</v>
      </c>
      <c r="D238" s="86" t="s">
        <v>236</v>
      </c>
      <c r="E238" s="86" t="s">
        <v>1208</v>
      </c>
      <c r="F238" s="86" t="s">
        <v>1209</v>
      </c>
      <c r="H238" s="204">
        <v>260</v>
      </c>
      <c r="I238" s="204">
        <v>4010</v>
      </c>
      <c r="J238" s="210">
        <v>2</v>
      </c>
      <c r="K238" s="275">
        <v>-58.61590688565812</v>
      </c>
      <c r="L238" s="287"/>
    </row>
    <row r="239" spans="1:12" x14ac:dyDescent="0.15">
      <c r="A239" s="86" t="s">
        <v>279</v>
      </c>
      <c r="B239" s="86" t="s">
        <v>1378</v>
      </c>
      <c r="C239" s="204">
        <v>21.93</v>
      </c>
      <c r="D239" s="86" t="s">
        <v>236</v>
      </c>
      <c r="E239" s="86" t="s">
        <v>1208</v>
      </c>
      <c r="F239" s="86" t="s">
        <v>1209</v>
      </c>
      <c r="G239" s="204">
        <v>370</v>
      </c>
      <c r="H239" s="204">
        <v>360</v>
      </c>
      <c r="I239" s="204">
        <v>3390</v>
      </c>
      <c r="J239" s="210">
        <v>13</v>
      </c>
      <c r="K239" s="275">
        <v>-542.24554404291143</v>
      </c>
      <c r="L239" s="287"/>
    </row>
    <row r="240" spans="1:12" x14ac:dyDescent="0.15">
      <c r="A240" s="86" t="s">
        <v>333</v>
      </c>
      <c r="B240" s="86" t="s">
        <v>1379</v>
      </c>
      <c r="C240" s="204">
        <v>119.76</v>
      </c>
      <c r="D240" s="86" t="s">
        <v>236</v>
      </c>
      <c r="E240" s="86" t="s">
        <v>1175</v>
      </c>
      <c r="F240" s="86" t="s">
        <v>1154</v>
      </c>
      <c r="G240" s="204">
        <v>26610</v>
      </c>
      <c r="H240" s="204">
        <v>25682</v>
      </c>
      <c r="I240" s="204">
        <v>183137</v>
      </c>
      <c r="J240" s="210">
        <v>29</v>
      </c>
      <c r="K240" s="275">
        <v>-372.68698514969492</v>
      </c>
      <c r="L240" s="287"/>
    </row>
    <row r="241" spans="1:12" x14ac:dyDescent="0.15">
      <c r="A241" s="86" t="s">
        <v>334</v>
      </c>
      <c r="B241" s="86" t="s">
        <v>1380</v>
      </c>
      <c r="C241" s="204">
        <v>120.12</v>
      </c>
      <c r="D241" s="86" t="s">
        <v>236</v>
      </c>
      <c r="E241" s="86" t="s">
        <v>1175</v>
      </c>
      <c r="F241" s="86" t="s">
        <v>1154</v>
      </c>
      <c r="G241" s="204">
        <v>10693</v>
      </c>
      <c r="H241" s="204">
        <v>4942</v>
      </c>
      <c r="I241" s="204">
        <v>58751</v>
      </c>
      <c r="J241" s="210">
        <v>4</v>
      </c>
      <c r="K241" s="275">
        <v>-17.079989008422448</v>
      </c>
      <c r="L241" s="287"/>
    </row>
    <row r="242" spans="1:12" x14ac:dyDescent="0.15">
      <c r="A242" s="86" t="s">
        <v>1715</v>
      </c>
      <c r="B242" s="86" t="s">
        <v>1716</v>
      </c>
      <c r="C242" s="204">
        <v>70</v>
      </c>
      <c r="D242" s="86" t="s">
        <v>236</v>
      </c>
      <c r="E242" s="86" t="s">
        <v>1175</v>
      </c>
      <c r="F242" s="86" t="s">
        <v>1154</v>
      </c>
      <c r="G242" s="204">
        <v>6269</v>
      </c>
      <c r="H242" s="204">
        <v>3878</v>
      </c>
      <c r="I242" s="204">
        <v>37824</v>
      </c>
      <c r="J242" s="210">
        <v>16</v>
      </c>
      <c r="K242" s="275">
        <v>-226.53636314980062</v>
      </c>
      <c r="L242" s="287"/>
    </row>
    <row r="243" spans="1:12" x14ac:dyDescent="0.15">
      <c r="A243" s="86" t="s">
        <v>335</v>
      </c>
      <c r="B243" s="86" t="s">
        <v>1381</v>
      </c>
      <c r="C243" s="204">
        <v>242.24</v>
      </c>
      <c r="D243" s="86" t="s">
        <v>236</v>
      </c>
      <c r="E243" s="86" t="s">
        <v>1175</v>
      </c>
      <c r="F243" s="86" t="s">
        <v>1154</v>
      </c>
      <c r="G243" s="204">
        <v>4969.7</v>
      </c>
      <c r="H243" s="204">
        <v>9571.7000000000007</v>
      </c>
      <c r="I243" s="204">
        <v>82892.5</v>
      </c>
      <c r="J243" s="210">
        <v>16</v>
      </c>
      <c r="K243" s="275">
        <v>-2378.7318281847215</v>
      </c>
      <c r="L243" s="287"/>
    </row>
    <row r="244" spans="1:12" x14ac:dyDescent="0.15">
      <c r="A244" s="86" t="s">
        <v>774</v>
      </c>
      <c r="B244" s="86" t="s">
        <v>1382</v>
      </c>
      <c r="C244" s="204">
        <v>96.77</v>
      </c>
      <c r="D244" s="86" t="s">
        <v>236</v>
      </c>
      <c r="E244" s="86" t="s">
        <v>1175</v>
      </c>
      <c r="F244" s="86" t="s">
        <v>1154</v>
      </c>
      <c r="G244" s="204">
        <v>951</v>
      </c>
      <c r="H244" s="204">
        <v>4323</v>
      </c>
      <c r="I244" s="204">
        <v>20566</v>
      </c>
      <c r="J244" s="210">
        <v>6</v>
      </c>
      <c r="K244" s="275">
        <v>-6.4994613522776135</v>
      </c>
      <c r="L244" s="287"/>
    </row>
    <row r="245" spans="1:12" x14ac:dyDescent="0.15">
      <c r="A245" s="86" t="s">
        <v>387</v>
      </c>
      <c r="B245" s="86" t="s">
        <v>1383</v>
      </c>
      <c r="C245" s="204">
        <v>320.58999999999997</v>
      </c>
      <c r="D245" s="86" t="s">
        <v>236</v>
      </c>
      <c r="E245" s="86" t="s">
        <v>1175</v>
      </c>
      <c r="F245" s="86" t="s">
        <v>1154</v>
      </c>
      <c r="G245" s="204">
        <v>28388</v>
      </c>
      <c r="H245" s="204">
        <v>30985</v>
      </c>
      <c r="I245" s="204">
        <v>315402</v>
      </c>
      <c r="J245" s="210">
        <v>201</v>
      </c>
      <c r="K245" s="275">
        <v>-315.83524387301003</v>
      </c>
      <c r="L245" s="287"/>
    </row>
    <row r="246" spans="1:12" x14ac:dyDescent="0.15">
      <c r="A246" s="86" t="s">
        <v>895</v>
      </c>
      <c r="B246" s="86" t="s">
        <v>1384</v>
      </c>
      <c r="C246" s="204">
        <v>111.4</v>
      </c>
      <c r="D246" s="86" t="s">
        <v>236</v>
      </c>
      <c r="E246" s="86" t="s">
        <v>1175</v>
      </c>
      <c r="F246" s="86" t="s">
        <v>1154</v>
      </c>
      <c r="G246" s="204">
        <v>10497</v>
      </c>
      <c r="H246" s="204">
        <v>6949</v>
      </c>
      <c r="I246" s="204">
        <v>85440</v>
      </c>
      <c r="J246" s="210">
        <v>15</v>
      </c>
      <c r="K246" s="275">
        <v>-34273.752317325838</v>
      </c>
      <c r="L246" s="287"/>
    </row>
    <row r="247" spans="1:12" x14ac:dyDescent="0.15">
      <c r="A247" s="86" t="s">
        <v>851</v>
      </c>
      <c r="B247" s="86" t="s">
        <v>1385</v>
      </c>
      <c r="C247" s="204">
        <v>103.01</v>
      </c>
      <c r="D247" s="86" t="s">
        <v>236</v>
      </c>
      <c r="E247" s="86" t="s">
        <v>1175</v>
      </c>
      <c r="F247" s="86" t="s">
        <v>1154</v>
      </c>
      <c r="G247" s="204">
        <v>1794.6</v>
      </c>
      <c r="H247" s="204">
        <v>1560</v>
      </c>
      <c r="I247" s="204">
        <v>26375.200000000001</v>
      </c>
      <c r="J247" s="210">
        <v>2</v>
      </c>
      <c r="K247" s="275">
        <v>-26.717797354798488</v>
      </c>
      <c r="L247" s="287"/>
    </row>
    <row r="248" spans="1:12" x14ac:dyDescent="0.15">
      <c r="A248" s="86" t="s">
        <v>845</v>
      </c>
      <c r="B248" s="86" t="s">
        <v>1386</v>
      </c>
      <c r="C248" s="204">
        <v>111.92</v>
      </c>
      <c r="D248" s="86" t="s">
        <v>236</v>
      </c>
      <c r="E248" s="86" t="s">
        <v>1175</v>
      </c>
      <c r="F248" s="86" t="s">
        <v>1154</v>
      </c>
      <c r="G248" s="204">
        <v>8152</v>
      </c>
      <c r="H248" s="204">
        <v>11758</v>
      </c>
      <c r="I248" s="204">
        <v>53403</v>
      </c>
      <c r="J248" s="210">
        <v>5</v>
      </c>
      <c r="K248" s="275">
        <v>-31.497202740935638</v>
      </c>
      <c r="L248" s="287"/>
    </row>
    <row r="249" spans="1:12" x14ac:dyDescent="0.15">
      <c r="A249" s="86" t="s">
        <v>797</v>
      </c>
      <c r="B249" s="86" t="s">
        <v>1387</v>
      </c>
      <c r="C249" s="204">
        <v>121</v>
      </c>
      <c r="D249" s="86" t="s">
        <v>236</v>
      </c>
      <c r="E249" s="86" t="s">
        <v>1175</v>
      </c>
      <c r="F249" s="86" t="s">
        <v>1154</v>
      </c>
      <c r="G249" s="204">
        <v>8870</v>
      </c>
      <c r="H249" s="204">
        <v>7618</v>
      </c>
      <c r="I249" s="204">
        <v>59885</v>
      </c>
      <c r="J249" s="210">
        <v>9</v>
      </c>
      <c r="K249" s="275">
        <v>-221.62062356408043</v>
      </c>
      <c r="L249" s="287"/>
    </row>
    <row r="250" spans="1:12" x14ac:dyDescent="0.15">
      <c r="A250" s="86" t="s">
        <v>1741</v>
      </c>
      <c r="B250" s="86" t="s">
        <v>1371</v>
      </c>
      <c r="C250" s="204">
        <v>90</v>
      </c>
      <c r="D250" s="86" t="s">
        <v>236</v>
      </c>
      <c r="E250" s="86" t="s">
        <v>1175</v>
      </c>
      <c r="F250" s="86" t="s">
        <v>1154</v>
      </c>
      <c r="G250" s="204">
        <v>8920</v>
      </c>
      <c r="H250" s="204">
        <v>3358</v>
      </c>
      <c r="I250" s="204">
        <v>52743</v>
      </c>
      <c r="J250" s="210">
        <v>3</v>
      </c>
      <c r="K250" s="275">
        <v>-154.80293025351187</v>
      </c>
      <c r="L250" s="287"/>
    </row>
    <row r="251" spans="1:12" x14ac:dyDescent="0.15">
      <c r="A251" s="86" t="s">
        <v>809</v>
      </c>
      <c r="B251" s="86" t="s">
        <v>1388</v>
      </c>
      <c r="C251" s="204">
        <v>83</v>
      </c>
      <c r="D251" s="86" t="s">
        <v>236</v>
      </c>
      <c r="E251" s="86" t="s">
        <v>1175</v>
      </c>
      <c r="F251" s="86" t="s">
        <v>1154</v>
      </c>
      <c r="G251" s="204">
        <v>551</v>
      </c>
      <c r="H251" s="204">
        <v>4990</v>
      </c>
      <c r="I251" s="204">
        <v>47896</v>
      </c>
      <c r="J251" s="210">
        <v>4</v>
      </c>
      <c r="K251" s="275">
        <v>-543.09724814135484</v>
      </c>
      <c r="L251" s="287"/>
    </row>
    <row r="252" spans="1:12" x14ac:dyDescent="0.15">
      <c r="A252" s="86" t="s">
        <v>199</v>
      </c>
      <c r="B252" s="86" t="s">
        <v>1389</v>
      </c>
      <c r="C252" s="204">
        <v>19.09</v>
      </c>
      <c r="D252" s="86" t="s">
        <v>236</v>
      </c>
      <c r="E252" s="86" t="s">
        <v>1175</v>
      </c>
      <c r="F252" s="86" t="s">
        <v>1292</v>
      </c>
      <c r="G252" s="204">
        <v>5947</v>
      </c>
      <c r="H252" s="204">
        <v>4919</v>
      </c>
      <c r="I252" s="204">
        <v>44526</v>
      </c>
      <c r="J252" s="210">
        <v>5</v>
      </c>
      <c r="K252" s="275">
        <v>-109.47522040807146</v>
      </c>
      <c r="L252" s="287"/>
    </row>
    <row r="253" spans="1:12" x14ac:dyDescent="0.15">
      <c r="A253" s="86" t="s">
        <v>336</v>
      </c>
      <c r="B253" s="86" t="s">
        <v>272</v>
      </c>
      <c r="C253" s="204">
        <v>20</v>
      </c>
      <c r="D253" s="86" t="s">
        <v>236</v>
      </c>
      <c r="E253" s="86" t="s">
        <v>1175</v>
      </c>
      <c r="F253" s="86" t="s">
        <v>1177</v>
      </c>
      <c r="G253" s="204">
        <v>1113</v>
      </c>
      <c r="H253" s="204">
        <v>600</v>
      </c>
      <c r="I253" s="204">
        <v>16140</v>
      </c>
      <c r="J253" s="210">
        <v>7</v>
      </c>
      <c r="K253" s="275">
        <v>-35.718624317977167</v>
      </c>
      <c r="L253" s="287"/>
    </row>
    <row r="254" spans="1:12" x14ac:dyDescent="0.15">
      <c r="A254" s="86" t="s">
        <v>337</v>
      </c>
      <c r="B254" s="86" t="s">
        <v>1390</v>
      </c>
      <c r="C254" s="204">
        <v>20</v>
      </c>
      <c r="D254" s="86" t="s">
        <v>236</v>
      </c>
      <c r="E254" s="86" t="s">
        <v>1175</v>
      </c>
      <c r="F254" s="86" t="s">
        <v>1204</v>
      </c>
      <c r="G254" s="204">
        <v>4841</v>
      </c>
      <c r="H254" s="204">
        <v>977</v>
      </c>
      <c r="I254" s="204">
        <v>14942</v>
      </c>
      <c r="J254" s="210">
        <v>8</v>
      </c>
      <c r="K254" s="275">
        <v>-31.013089776216574</v>
      </c>
      <c r="L254" s="287"/>
    </row>
    <row r="255" spans="1:12" x14ac:dyDescent="0.15">
      <c r="A255" s="86" t="s">
        <v>338</v>
      </c>
      <c r="B255" s="86" t="s">
        <v>1391</v>
      </c>
      <c r="C255" s="204">
        <v>20</v>
      </c>
      <c r="D255" s="86" t="s">
        <v>236</v>
      </c>
      <c r="E255" s="86" t="s">
        <v>1175</v>
      </c>
      <c r="F255" s="86" t="s">
        <v>1204</v>
      </c>
      <c r="G255" s="204">
        <v>937</v>
      </c>
      <c r="H255" s="204">
        <v>886</v>
      </c>
      <c r="I255" s="204">
        <v>9053</v>
      </c>
      <c r="J255" s="210">
        <v>5</v>
      </c>
      <c r="K255" s="275">
        <v>-153.37012901942845</v>
      </c>
      <c r="L255" s="287"/>
    </row>
    <row r="256" spans="1:12" x14ac:dyDescent="0.15">
      <c r="A256" s="86" t="s">
        <v>692</v>
      </c>
      <c r="B256" s="86" t="s">
        <v>1392</v>
      </c>
      <c r="C256" s="204">
        <v>12</v>
      </c>
      <c r="D256" s="86" t="s">
        <v>236</v>
      </c>
      <c r="E256" s="86" t="s">
        <v>1175</v>
      </c>
      <c r="F256" s="86" t="s">
        <v>384</v>
      </c>
      <c r="G256" s="204">
        <v>769</v>
      </c>
      <c r="H256" s="204">
        <v>1017</v>
      </c>
      <c r="I256" s="204">
        <v>7206</v>
      </c>
      <c r="J256" s="210">
        <v>10</v>
      </c>
      <c r="K256" s="275">
        <v>-239.99337096815898</v>
      </c>
      <c r="L256" s="287"/>
    </row>
    <row r="257" spans="1:12" x14ac:dyDescent="0.15">
      <c r="A257" s="86" t="s">
        <v>700</v>
      </c>
      <c r="B257" s="199" t="s">
        <v>1393</v>
      </c>
      <c r="C257" s="204">
        <v>20</v>
      </c>
      <c r="D257" s="86" t="s">
        <v>236</v>
      </c>
      <c r="E257" s="86" t="s">
        <v>1175</v>
      </c>
      <c r="F257" s="86" t="s">
        <v>1204</v>
      </c>
      <c r="G257" s="204">
        <v>1620</v>
      </c>
      <c r="H257" s="204">
        <v>352</v>
      </c>
      <c r="I257" s="204">
        <v>3679</v>
      </c>
      <c r="J257" s="210">
        <v>2</v>
      </c>
      <c r="K257" s="275">
        <v>-17.02605543672837</v>
      </c>
      <c r="L257" s="287"/>
    </row>
    <row r="258" spans="1:12" x14ac:dyDescent="0.15">
      <c r="A258" s="86" t="s">
        <v>711</v>
      </c>
      <c r="B258" s="86" t="s">
        <v>1394</v>
      </c>
      <c r="C258" s="204">
        <v>20</v>
      </c>
      <c r="D258" s="86" t="s">
        <v>236</v>
      </c>
      <c r="E258" s="86" t="s">
        <v>1175</v>
      </c>
      <c r="F258" s="86" t="s">
        <v>1292</v>
      </c>
      <c r="G258" s="204">
        <v>777</v>
      </c>
      <c r="I258" s="204">
        <v>7238</v>
      </c>
      <c r="K258" s="275">
        <v>47.169454439846191</v>
      </c>
      <c r="L258" s="287"/>
    </row>
    <row r="259" spans="1:12" x14ac:dyDescent="0.15">
      <c r="A259" s="86" t="s">
        <v>702</v>
      </c>
      <c r="B259" s="86" t="s">
        <v>1395</v>
      </c>
      <c r="C259" s="204">
        <v>20</v>
      </c>
      <c r="D259" s="86" t="s">
        <v>236</v>
      </c>
      <c r="E259" s="86" t="s">
        <v>1175</v>
      </c>
      <c r="F259" s="86" t="s">
        <v>1204</v>
      </c>
      <c r="L259" s="287"/>
    </row>
    <row r="260" spans="1:12" x14ac:dyDescent="0.15">
      <c r="A260" s="86" t="s">
        <v>896</v>
      </c>
      <c r="B260" s="86" t="s">
        <v>1396</v>
      </c>
      <c r="C260" s="204">
        <v>16</v>
      </c>
      <c r="D260" s="86" t="s">
        <v>236</v>
      </c>
      <c r="E260" s="86" t="s">
        <v>1175</v>
      </c>
      <c r="F260" s="86" t="s">
        <v>1204</v>
      </c>
      <c r="G260" s="204">
        <v>3960</v>
      </c>
      <c r="I260" s="204">
        <v>7561</v>
      </c>
      <c r="K260" s="275">
        <v>65.275234708066805</v>
      </c>
      <c r="L260" s="287"/>
    </row>
    <row r="261" spans="1:12" x14ac:dyDescent="0.15">
      <c r="A261" s="86" t="s">
        <v>1120</v>
      </c>
      <c r="B261" s="86" t="s">
        <v>1397</v>
      </c>
      <c r="C261" s="204">
        <v>49.5</v>
      </c>
      <c r="D261" s="86" t="s">
        <v>237</v>
      </c>
      <c r="E261" s="86" t="s">
        <v>1185</v>
      </c>
      <c r="F261" s="86" t="s">
        <v>385</v>
      </c>
      <c r="G261" s="204">
        <v>1377</v>
      </c>
      <c r="H261" s="204">
        <v>1860</v>
      </c>
      <c r="I261" s="204">
        <v>19841</v>
      </c>
      <c r="J261" s="210">
        <v>50</v>
      </c>
      <c r="K261" s="275">
        <v>-750.87086508583911</v>
      </c>
      <c r="L261" s="287"/>
    </row>
    <row r="262" spans="1:12" x14ac:dyDescent="0.15">
      <c r="A262" s="86" t="s">
        <v>1111</v>
      </c>
      <c r="B262" s="86" t="s">
        <v>1398</v>
      </c>
      <c r="C262" s="204">
        <v>20</v>
      </c>
      <c r="D262" s="86" t="s">
        <v>236</v>
      </c>
      <c r="E262" s="86" t="s">
        <v>1175</v>
      </c>
      <c r="F262" s="86" t="s">
        <v>1292</v>
      </c>
      <c r="G262" s="204">
        <v>666</v>
      </c>
      <c r="H262" s="204">
        <v>299</v>
      </c>
      <c r="I262" s="204">
        <v>4348</v>
      </c>
      <c r="J262" s="210">
        <v>1</v>
      </c>
      <c r="K262" s="275">
        <v>-20.084889210436675</v>
      </c>
      <c r="L262" s="287"/>
    </row>
    <row r="263" spans="1:12" x14ac:dyDescent="0.15">
      <c r="A263" s="86" t="s">
        <v>1137</v>
      </c>
      <c r="B263" s="86" t="s">
        <v>1399</v>
      </c>
      <c r="C263" s="204">
        <v>12</v>
      </c>
      <c r="D263" s="86" t="s">
        <v>236</v>
      </c>
      <c r="E263" s="86" t="s">
        <v>1208</v>
      </c>
      <c r="F263" s="86" t="s">
        <v>1177</v>
      </c>
      <c r="L263" s="287"/>
    </row>
    <row r="264" spans="1:12" x14ac:dyDescent="0.15">
      <c r="A264" s="86" t="s">
        <v>1621</v>
      </c>
      <c r="B264" s="86" t="s">
        <v>1624</v>
      </c>
      <c r="C264" s="204">
        <v>20</v>
      </c>
      <c r="D264" s="86" t="s">
        <v>236</v>
      </c>
      <c r="E264" s="86" t="s">
        <v>1175</v>
      </c>
      <c r="F264" s="86" t="s">
        <v>1154</v>
      </c>
      <c r="G264" s="204">
        <v>1752</v>
      </c>
      <c r="H264" s="204">
        <v>1118</v>
      </c>
      <c r="I264" s="204">
        <v>9369</v>
      </c>
      <c r="J264" s="210">
        <v>10</v>
      </c>
      <c r="K264" s="275">
        <v>-62.480058368510051</v>
      </c>
      <c r="L264" s="287"/>
    </row>
    <row r="265" spans="1:12" x14ac:dyDescent="0.15">
      <c r="A265" s="86" t="s">
        <v>1720</v>
      </c>
      <c r="B265" s="86" t="s">
        <v>1280</v>
      </c>
      <c r="C265" s="204">
        <v>12</v>
      </c>
      <c r="D265" s="86" t="s">
        <v>236</v>
      </c>
      <c r="E265" s="86" t="s">
        <v>1175</v>
      </c>
      <c r="F265" s="86" t="s">
        <v>1204</v>
      </c>
      <c r="G265" s="204">
        <v>2034</v>
      </c>
      <c r="H265" s="204">
        <v>207</v>
      </c>
      <c r="I265" s="204">
        <v>8760</v>
      </c>
      <c r="J265" s="210">
        <v>1</v>
      </c>
      <c r="K265" s="275">
        <v>-6.1439089796799795</v>
      </c>
      <c r="L265" s="287"/>
    </row>
    <row r="266" spans="1:12" x14ac:dyDescent="0.15">
      <c r="A266" s="86" t="s">
        <v>1811</v>
      </c>
      <c r="B266" s="86" t="s">
        <v>1819</v>
      </c>
      <c r="C266" s="204">
        <v>60</v>
      </c>
      <c r="D266" s="86" t="s">
        <v>236</v>
      </c>
      <c r="E266" s="86" t="s">
        <v>1185</v>
      </c>
      <c r="F266" s="86" t="s">
        <v>385</v>
      </c>
      <c r="G266" s="204">
        <v>394</v>
      </c>
      <c r="H266" s="204">
        <v>680</v>
      </c>
      <c r="I266" s="204">
        <v>6139</v>
      </c>
      <c r="J266" s="210">
        <v>16</v>
      </c>
      <c r="K266" s="275">
        <v>0</v>
      </c>
      <c r="L266" s="287"/>
    </row>
    <row r="267" spans="1:12" x14ac:dyDescent="0.15">
      <c r="A267" s="86" t="s">
        <v>1699</v>
      </c>
      <c r="B267" s="86" t="s">
        <v>1700</v>
      </c>
      <c r="C267" s="204">
        <v>15</v>
      </c>
      <c r="D267" s="86" t="s">
        <v>236</v>
      </c>
      <c r="E267" s="86" t="s">
        <v>1175</v>
      </c>
      <c r="F267" s="86" t="s">
        <v>1292</v>
      </c>
      <c r="G267" s="204">
        <v>799</v>
      </c>
      <c r="H267" s="204">
        <v>762</v>
      </c>
      <c r="I267" s="204">
        <v>11511</v>
      </c>
      <c r="J267" s="210">
        <v>1</v>
      </c>
      <c r="K267" s="275">
        <v>-12.154998197941369</v>
      </c>
      <c r="L267" s="287"/>
    </row>
    <row r="268" spans="1:12" x14ac:dyDescent="0.15">
      <c r="A268" s="86" t="s">
        <v>1821</v>
      </c>
      <c r="B268" s="86" t="s">
        <v>1823</v>
      </c>
      <c r="C268" s="204">
        <v>15</v>
      </c>
      <c r="D268" s="86" t="s">
        <v>236</v>
      </c>
      <c r="E268" s="86" t="s">
        <v>1175</v>
      </c>
      <c r="F268" s="86" t="s">
        <v>1154</v>
      </c>
      <c r="G268" s="204">
        <v>2094</v>
      </c>
      <c r="H268" s="204">
        <v>4036</v>
      </c>
      <c r="I268" s="204">
        <v>25686</v>
      </c>
      <c r="J268" s="210">
        <v>4</v>
      </c>
      <c r="K268" s="275">
        <v>-18747.45681399442</v>
      </c>
      <c r="L268" s="287"/>
    </row>
    <row r="269" spans="1:12" x14ac:dyDescent="0.15">
      <c r="A269" s="86" t="s">
        <v>1781</v>
      </c>
      <c r="B269" s="86" t="s">
        <v>1783</v>
      </c>
      <c r="C269" s="204">
        <v>15</v>
      </c>
      <c r="D269" s="86" t="s">
        <v>236</v>
      </c>
      <c r="E269" s="86" t="s">
        <v>1175</v>
      </c>
      <c r="F269" s="86" t="s">
        <v>1204</v>
      </c>
      <c r="K269" s="275">
        <v>-17.013092661991092</v>
      </c>
      <c r="L269" s="287"/>
    </row>
    <row r="270" spans="1:12" x14ac:dyDescent="0.15">
      <c r="A270" s="86" t="s">
        <v>1903</v>
      </c>
      <c r="B270" s="86" t="s">
        <v>1904</v>
      </c>
      <c r="C270" s="204">
        <v>20</v>
      </c>
      <c r="D270" s="86" t="s">
        <v>236</v>
      </c>
      <c r="E270" s="86" t="s">
        <v>1175</v>
      </c>
      <c r="F270" s="86" t="s">
        <v>1204</v>
      </c>
      <c r="G270" s="204">
        <v>1546</v>
      </c>
      <c r="H270" s="204">
        <v>1096</v>
      </c>
      <c r="I270" s="204">
        <v>7411</v>
      </c>
      <c r="J270" s="210">
        <v>3</v>
      </c>
      <c r="K270" s="275">
        <v>-188.18235340585417</v>
      </c>
      <c r="L270" s="287"/>
    </row>
    <row r="271" spans="1:12" x14ac:dyDescent="0.15">
      <c r="A271" s="86" t="s">
        <v>359</v>
      </c>
      <c r="B271" s="86" t="s">
        <v>1400</v>
      </c>
      <c r="C271" s="204">
        <v>141.72999999999999</v>
      </c>
      <c r="D271" s="86" t="s">
        <v>237</v>
      </c>
      <c r="E271" s="86" t="s">
        <v>1175</v>
      </c>
      <c r="F271" s="86" t="s">
        <v>1154</v>
      </c>
      <c r="G271" s="204">
        <v>3810</v>
      </c>
      <c r="H271" s="204">
        <v>7279</v>
      </c>
      <c r="I271" s="204">
        <v>182372</v>
      </c>
      <c r="J271" s="210">
        <v>18</v>
      </c>
      <c r="K271" s="275">
        <v>-616.35918680529164</v>
      </c>
      <c r="L271" s="287"/>
    </row>
    <row r="272" spans="1:12" x14ac:dyDescent="0.15">
      <c r="A272" s="86" t="s">
        <v>881</v>
      </c>
      <c r="B272" s="86" t="s">
        <v>1401</v>
      </c>
      <c r="C272" s="204">
        <v>45</v>
      </c>
      <c r="D272" s="86" t="s">
        <v>237</v>
      </c>
      <c r="E272" s="86" t="s">
        <v>1175</v>
      </c>
      <c r="F272" s="86" t="s">
        <v>1204</v>
      </c>
      <c r="G272" s="204">
        <v>6707.8</v>
      </c>
      <c r="H272" s="204">
        <v>12303.9</v>
      </c>
      <c r="I272" s="204">
        <v>86093.4</v>
      </c>
      <c r="J272" s="210">
        <v>15</v>
      </c>
      <c r="K272" s="275">
        <v>5.223287097585116</v>
      </c>
      <c r="L272" s="287"/>
    </row>
    <row r="273" spans="1:12" x14ac:dyDescent="0.15">
      <c r="A273" s="86" t="s">
        <v>508</v>
      </c>
      <c r="B273" s="86" t="s">
        <v>1402</v>
      </c>
      <c r="C273" s="204">
        <v>86</v>
      </c>
      <c r="D273" s="86" t="s">
        <v>237</v>
      </c>
      <c r="E273" s="86" t="s">
        <v>1175</v>
      </c>
      <c r="F273" s="86" t="s">
        <v>1154</v>
      </c>
      <c r="G273" s="204">
        <v>921</v>
      </c>
      <c r="H273" s="204">
        <v>20108</v>
      </c>
      <c r="I273" s="204">
        <v>92145</v>
      </c>
      <c r="J273" s="210">
        <v>14</v>
      </c>
      <c r="K273" s="275">
        <v>30.451993156660397</v>
      </c>
      <c r="L273" s="287"/>
    </row>
    <row r="274" spans="1:12" x14ac:dyDescent="0.15">
      <c r="A274" s="86" t="s">
        <v>522</v>
      </c>
      <c r="B274" s="86" t="s">
        <v>1403</v>
      </c>
      <c r="C274" s="204">
        <v>205</v>
      </c>
      <c r="D274" s="86" t="s">
        <v>237</v>
      </c>
      <c r="E274" s="86" t="s">
        <v>1175</v>
      </c>
      <c r="F274" s="86" t="s">
        <v>1154</v>
      </c>
      <c r="G274" s="204">
        <v>7233.8</v>
      </c>
      <c r="H274" s="204">
        <v>6771.2</v>
      </c>
      <c r="I274" s="204">
        <v>94777.400000000009</v>
      </c>
      <c r="J274" s="210">
        <v>38</v>
      </c>
      <c r="K274" s="275">
        <v>-46.724472260840535</v>
      </c>
      <c r="L274" s="287"/>
    </row>
    <row r="275" spans="1:12" x14ac:dyDescent="0.15">
      <c r="A275" s="86" t="s">
        <v>1768</v>
      </c>
      <c r="B275" s="86" t="s">
        <v>1770</v>
      </c>
      <c r="C275" s="204">
        <v>15</v>
      </c>
      <c r="D275" s="86" t="s">
        <v>237</v>
      </c>
      <c r="E275" s="86" t="s">
        <v>1175</v>
      </c>
      <c r="F275" s="86" t="s">
        <v>1154</v>
      </c>
      <c r="G275" s="204">
        <v>318</v>
      </c>
      <c r="H275" s="204">
        <v>2256</v>
      </c>
      <c r="I275" s="204">
        <v>6741</v>
      </c>
      <c r="J275" s="210">
        <v>4</v>
      </c>
      <c r="K275" s="275">
        <v>16.95719065571669</v>
      </c>
      <c r="L275" s="287"/>
    </row>
    <row r="276" spans="1:12" x14ac:dyDescent="0.15">
      <c r="A276" s="86" t="s">
        <v>903</v>
      </c>
      <c r="B276" s="86" t="s">
        <v>1404</v>
      </c>
      <c r="C276" s="204">
        <v>25</v>
      </c>
      <c r="D276" s="86" t="s">
        <v>237</v>
      </c>
      <c r="E276" s="86" t="s">
        <v>1175</v>
      </c>
      <c r="F276" s="86" t="s">
        <v>1204</v>
      </c>
      <c r="G276" s="204">
        <v>1537</v>
      </c>
      <c r="H276" s="204">
        <v>2196</v>
      </c>
      <c r="I276" s="204">
        <v>15576</v>
      </c>
      <c r="J276" s="210">
        <v>5</v>
      </c>
      <c r="K276" s="275">
        <v>-4086.0507815497394</v>
      </c>
      <c r="L276" s="287"/>
    </row>
    <row r="277" spans="1:12" x14ac:dyDescent="0.15">
      <c r="A277" s="86" t="s">
        <v>1645</v>
      </c>
      <c r="B277" s="199" t="s">
        <v>1646</v>
      </c>
      <c r="C277" s="204">
        <v>123.47</v>
      </c>
      <c r="D277" s="86" t="s">
        <v>237</v>
      </c>
      <c r="E277" s="86" t="s">
        <v>1175</v>
      </c>
      <c r="F277" s="86" t="s">
        <v>1154</v>
      </c>
      <c r="G277" s="204">
        <v>10459</v>
      </c>
      <c r="H277" s="204">
        <v>6306</v>
      </c>
      <c r="I277" s="204">
        <v>59045</v>
      </c>
      <c r="J277" s="210">
        <v>8</v>
      </c>
      <c r="K277" s="275">
        <v>-160.39001156288796</v>
      </c>
      <c r="L277" s="287"/>
    </row>
    <row r="278" spans="1:12" x14ac:dyDescent="0.15">
      <c r="A278" s="86" t="s">
        <v>200</v>
      </c>
      <c r="B278" s="86" t="s">
        <v>1405</v>
      </c>
      <c r="C278" s="204">
        <v>119.74</v>
      </c>
      <c r="D278" s="86" t="s">
        <v>237</v>
      </c>
      <c r="E278" s="86" t="s">
        <v>1175</v>
      </c>
      <c r="F278" s="86" t="s">
        <v>1154</v>
      </c>
      <c r="G278" s="204">
        <v>2467</v>
      </c>
      <c r="H278" s="204">
        <v>4228</v>
      </c>
      <c r="I278" s="204">
        <v>69594</v>
      </c>
      <c r="J278" s="210">
        <v>6</v>
      </c>
      <c r="K278" s="275">
        <v>-50.34334828459528</v>
      </c>
      <c r="L278" s="287"/>
    </row>
    <row r="279" spans="1:12" x14ac:dyDescent="0.15">
      <c r="A279" s="86" t="s">
        <v>1662</v>
      </c>
      <c r="B279" s="86" t="s">
        <v>1663</v>
      </c>
      <c r="C279" s="204">
        <v>56.6</v>
      </c>
      <c r="D279" s="86" t="s">
        <v>237</v>
      </c>
      <c r="E279" s="86" t="s">
        <v>1175</v>
      </c>
      <c r="F279" s="86" t="s">
        <v>1154</v>
      </c>
      <c r="G279" s="204">
        <v>2400</v>
      </c>
      <c r="H279" s="204">
        <v>1430</v>
      </c>
      <c r="I279" s="204">
        <v>66722</v>
      </c>
      <c r="J279" s="210">
        <v>4</v>
      </c>
      <c r="K279" s="275">
        <v>22.598434952755618</v>
      </c>
      <c r="L279" s="287"/>
    </row>
    <row r="280" spans="1:12" x14ac:dyDescent="0.15">
      <c r="A280" s="86" t="s">
        <v>664</v>
      </c>
      <c r="B280" s="86" t="s">
        <v>1406</v>
      </c>
      <c r="C280" s="204">
        <v>76.099999999999994</v>
      </c>
      <c r="D280" s="86" t="s">
        <v>237</v>
      </c>
      <c r="E280" s="86" t="s">
        <v>1175</v>
      </c>
      <c r="F280" s="86" t="s">
        <v>1204</v>
      </c>
      <c r="G280" s="204">
        <v>7351</v>
      </c>
      <c r="H280" s="204">
        <v>5210.1000000000004</v>
      </c>
      <c r="I280" s="204">
        <v>79540.600000000006</v>
      </c>
      <c r="J280" s="210">
        <v>9</v>
      </c>
      <c r="K280" s="275">
        <v>-464.77948481035315</v>
      </c>
      <c r="L280" s="287"/>
    </row>
    <row r="281" spans="1:12" x14ac:dyDescent="0.15">
      <c r="A281" s="86" t="s">
        <v>916</v>
      </c>
      <c r="B281" s="86" t="s">
        <v>1407</v>
      </c>
      <c r="C281" s="204">
        <v>43</v>
      </c>
      <c r="D281" s="86" t="s">
        <v>237</v>
      </c>
      <c r="E281" s="86" t="s">
        <v>1175</v>
      </c>
      <c r="F281" s="86" t="s">
        <v>1154</v>
      </c>
      <c r="G281" s="204">
        <v>2274.1</v>
      </c>
      <c r="H281" s="204">
        <v>2566.1999999999998</v>
      </c>
      <c r="I281" s="204">
        <v>29216.999999999996</v>
      </c>
      <c r="J281" s="210">
        <v>18</v>
      </c>
      <c r="K281" s="275">
        <v>-102.03784388082511</v>
      </c>
      <c r="L281" s="287"/>
    </row>
    <row r="282" spans="1:12" x14ac:dyDescent="0.15">
      <c r="A282" s="86" t="s">
        <v>928</v>
      </c>
      <c r="B282" s="86" t="s">
        <v>1408</v>
      </c>
      <c r="C282" s="204">
        <v>40.24</v>
      </c>
      <c r="D282" s="86" t="s">
        <v>237</v>
      </c>
      <c r="E282" s="86" t="s">
        <v>1175</v>
      </c>
      <c r="F282" s="86" t="s">
        <v>1292</v>
      </c>
      <c r="G282" s="204">
        <v>1265</v>
      </c>
      <c r="H282" s="204">
        <v>988</v>
      </c>
      <c r="I282" s="204">
        <v>13778</v>
      </c>
      <c r="J282" s="210">
        <v>1</v>
      </c>
      <c r="K282" s="275">
        <v>-146.37631952373252</v>
      </c>
      <c r="L282" s="287"/>
    </row>
    <row r="283" spans="1:12" x14ac:dyDescent="0.15">
      <c r="A283" s="86" t="s">
        <v>1674</v>
      </c>
      <c r="B283" s="86" t="s">
        <v>1675</v>
      </c>
      <c r="C283" s="204">
        <v>90</v>
      </c>
      <c r="D283" s="86" t="s">
        <v>237</v>
      </c>
      <c r="E283" s="86" t="s">
        <v>1175</v>
      </c>
      <c r="F283" s="86" t="s">
        <v>1154</v>
      </c>
      <c r="G283" s="204">
        <v>3774</v>
      </c>
      <c r="H283" s="204">
        <v>5826</v>
      </c>
      <c r="I283" s="204">
        <v>32347</v>
      </c>
      <c r="J283" s="210">
        <v>8</v>
      </c>
      <c r="K283" s="275">
        <v>-2889.5548338634121</v>
      </c>
      <c r="L283" s="287"/>
    </row>
    <row r="284" spans="1:12" x14ac:dyDescent="0.15">
      <c r="A284" s="86" t="s">
        <v>1755</v>
      </c>
      <c r="B284" s="86" t="s">
        <v>1759</v>
      </c>
      <c r="C284" s="204">
        <v>51.99</v>
      </c>
      <c r="D284" s="86" t="s">
        <v>237</v>
      </c>
      <c r="E284" s="86" t="s">
        <v>1175</v>
      </c>
      <c r="F284" s="86" t="s">
        <v>1154</v>
      </c>
      <c r="G284" s="204">
        <v>3111</v>
      </c>
      <c r="H284" s="204">
        <v>6757</v>
      </c>
      <c r="I284" s="204">
        <v>58735</v>
      </c>
      <c r="J284" s="210">
        <v>15</v>
      </c>
      <c r="K284" s="275">
        <v>-72.958581845433159</v>
      </c>
      <c r="L284" s="287"/>
    </row>
    <row r="285" spans="1:12" x14ac:dyDescent="0.15">
      <c r="A285" s="86" t="s">
        <v>923</v>
      </c>
      <c r="B285" s="86" t="s">
        <v>1409</v>
      </c>
      <c r="C285" s="204">
        <v>59</v>
      </c>
      <c r="D285" s="86" t="s">
        <v>237</v>
      </c>
      <c r="E285" s="86" t="s">
        <v>1175</v>
      </c>
      <c r="F285" s="86" t="s">
        <v>384</v>
      </c>
      <c r="G285" s="204">
        <v>851</v>
      </c>
      <c r="H285" s="204">
        <v>3570</v>
      </c>
      <c r="I285" s="204">
        <v>26650</v>
      </c>
      <c r="J285" s="210">
        <v>9</v>
      </c>
      <c r="K285" s="275">
        <v>-631.53975879529412</v>
      </c>
      <c r="L285" s="287"/>
    </row>
    <row r="286" spans="1:12" x14ac:dyDescent="0.15">
      <c r="A286" s="86" t="s">
        <v>1088</v>
      </c>
      <c r="B286" s="86" t="s">
        <v>1410</v>
      </c>
      <c r="C286" s="204">
        <v>130</v>
      </c>
      <c r="D286" s="86" t="s">
        <v>237</v>
      </c>
      <c r="E286" s="86" t="s">
        <v>1175</v>
      </c>
      <c r="F286" s="86" t="s">
        <v>1154</v>
      </c>
      <c r="G286" s="204">
        <v>12250</v>
      </c>
      <c r="H286" s="204">
        <v>3263</v>
      </c>
      <c r="I286" s="204">
        <v>37391</v>
      </c>
      <c r="J286" s="210">
        <v>7</v>
      </c>
      <c r="K286" s="275">
        <v>-54.56323708793991</v>
      </c>
      <c r="L286" s="287"/>
    </row>
    <row r="287" spans="1:12" x14ac:dyDescent="0.15">
      <c r="A287" s="86" t="s">
        <v>1745</v>
      </c>
      <c r="B287" s="86" t="s">
        <v>1746</v>
      </c>
      <c r="C287" s="204">
        <v>130</v>
      </c>
      <c r="D287" s="86" t="s">
        <v>237</v>
      </c>
      <c r="E287" s="86" t="s">
        <v>1175</v>
      </c>
      <c r="F287" s="86" t="s">
        <v>1154</v>
      </c>
      <c r="G287" s="204">
        <v>5256</v>
      </c>
      <c r="H287" s="204">
        <v>8127</v>
      </c>
      <c r="I287" s="204">
        <v>84663</v>
      </c>
      <c r="J287" s="210">
        <v>18</v>
      </c>
      <c r="K287" s="275">
        <v>-237.14372770919977</v>
      </c>
      <c r="L287" s="287"/>
    </row>
    <row r="288" spans="1:12" x14ac:dyDescent="0.15">
      <c r="A288" s="86" t="s">
        <v>1129</v>
      </c>
      <c r="B288" s="86" t="s">
        <v>1411</v>
      </c>
      <c r="C288" s="204">
        <v>185</v>
      </c>
      <c r="D288" s="86" t="s">
        <v>237</v>
      </c>
      <c r="E288" s="86" t="s">
        <v>1175</v>
      </c>
      <c r="F288" s="86" t="s">
        <v>384</v>
      </c>
      <c r="G288" s="204">
        <v>9125.5</v>
      </c>
      <c r="H288" s="204">
        <v>6355</v>
      </c>
      <c r="I288" s="204">
        <v>71310.8</v>
      </c>
      <c r="J288" s="210">
        <v>71</v>
      </c>
      <c r="K288" s="275">
        <v>-26.002392020818199</v>
      </c>
      <c r="L288" s="287"/>
    </row>
    <row r="289" spans="1:12" x14ac:dyDescent="0.15">
      <c r="A289" s="86" t="s">
        <v>1703</v>
      </c>
      <c r="B289" s="86" t="s">
        <v>1304</v>
      </c>
      <c r="C289" s="204">
        <v>220</v>
      </c>
      <c r="D289" s="86" t="s">
        <v>237</v>
      </c>
      <c r="E289" s="86" t="s">
        <v>1208</v>
      </c>
      <c r="F289" s="86" t="s">
        <v>1209</v>
      </c>
      <c r="G289" s="204">
        <v>12549.6</v>
      </c>
      <c r="H289" s="204">
        <v>9088.7999999999993</v>
      </c>
      <c r="I289" s="204">
        <v>86351.62</v>
      </c>
      <c r="J289" s="210">
        <v>9</v>
      </c>
      <c r="K289" s="275">
        <v>-235.68809193896837</v>
      </c>
      <c r="L289" s="287"/>
    </row>
    <row r="290" spans="1:12" x14ac:dyDescent="0.15">
      <c r="A290" s="86" t="s">
        <v>201</v>
      </c>
      <c r="B290" s="86" t="s">
        <v>1412</v>
      </c>
      <c r="C290" s="204">
        <v>416.35</v>
      </c>
      <c r="D290" s="86" t="s">
        <v>237</v>
      </c>
      <c r="E290" s="86" t="s">
        <v>1208</v>
      </c>
      <c r="F290" s="86" t="s">
        <v>1209</v>
      </c>
      <c r="G290" s="204">
        <v>22884</v>
      </c>
      <c r="I290" s="204">
        <v>28199.599999999999</v>
      </c>
      <c r="K290" s="275">
        <v>-22.20737631867329</v>
      </c>
      <c r="L290" s="287"/>
    </row>
    <row r="291" spans="1:12" x14ac:dyDescent="0.15">
      <c r="A291" s="86" t="s">
        <v>202</v>
      </c>
      <c r="B291" s="86" t="s">
        <v>1413</v>
      </c>
      <c r="C291" s="204">
        <v>395.72</v>
      </c>
      <c r="D291" s="86" t="s">
        <v>237</v>
      </c>
      <c r="E291" s="86" t="s">
        <v>1208</v>
      </c>
      <c r="F291" s="86" t="s">
        <v>1209</v>
      </c>
      <c r="G291" s="204">
        <v>42660</v>
      </c>
      <c r="I291" s="204">
        <v>78698</v>
      </c>
      <c r="K291" s="275">
        <v>-100.76372116612085</v>
      </c>
      <c r="L291" s="287"/>
    </row>
    <row r="292" spans="1:12" x14ac:dyDescent="0.15">
      <c r="A292" s="86" t="s">
        <v>1054</v>
      </c>
      <c r="B292" s="86" t="s">
        <v>1414</v>
      </c>
      <c r="C292" s="204">
        <v>110</v>
      </c>
      <c r="D292" s="86" t="s">
        <v>237</v>
      </c>
      <c r="E292" s="86" t="s">
        <v>1175</v>
      </c>
      <c r="F292" s="86" t="s">
        <v>1154</v>
      </c>
      <c r="G292" s="204">
        <v>10940</v>
      </c>
      <c r="H292" s="204">
        <v>1290</v>
      </c>
      <c r="I292" s="204">
        <v>97330</v>
      </c>
      <c r="J292" s="210">
        <v>3</v>
      </c>
      <c r="K292" s="275">
        <v>28.250244127560119</v>
      </c>
      <c r="L292" s="287"/>
    </row>
    <row r="293" spans="1:12" x14ac:dyDescent="0.15">
      <c r="A293" s="86" t="s">
        <v>1048</v>
      </c>
      <c r="B293" s="86" t="s">
        <v>1415</v>
      </c>
      <c r="C293" s="204">
        <v>70</v>
      </c>
      <c r="D293" s="86" t="s">
        <v>237</v>
      </c>
      <c r="E293" s="86" t="s">
        <v>1175</v>
      </c>
      <c r="F293" s="86" t="s">
        <v>1292</v>
      </c>
      <c r="G293" s="204">
        <v>11161</v>
      </c>
      <c r="H293" s="204">
        <v>7593</v>
      </c>
      <c r="I293" s="204">
        <v>48397</v>
      </c>
      <c r="J293" s="210">
        <v>7</v>
      </c>
      <c r="K293" s="275">
        <v>-3162.2996451306321</v>
      </c>
      <c r="L293" s="287"/>
    </row>
    <row r="294" spans="1:12" x14ac:dyDescent="0.15">
      <c r="A294" s="86" t="s">
        <v>203</v>
      </c>
      <c r="B294" s="86" t="s">
        <v>1416</v>
      </c>
      <c r="C294" s="204">
        <v>75.12</v>
      </c>
      <c r="D294" s="86" t="s">
        <v>237</v>
      </c>
      <c r="E294" s="86" t="s">
        <v>1175</v>
      </c>
      <c r="F294" s="86" t="s">
        <v>1154</v>
      </c>
      <c r="G294" s="204">
        <v>5470</v>
      </c>
      <c r="H294" s="204">
        <v>4989</v>
      </c>
      <c r="I294" s="204">
        <v>36655</v>
      </c>
      <c r="J294" s="210">
        <v>5</v>
      </c>
      <c r="K294" s="275">
        <v>-4706.9953767305269</v>
      </c>
      <c r="L294" s="287"/>
    </row>
    <row r="295" spans="1:12" x14ac:dyDescent="0.15">
      <c r="A295" s="86" t="s">
        <v>931</v>
      </c>
      <c r="B295" s="86" t="s">
        <v>1417</v>
      </c>
      <c r="C295" s="204">
        <v>181.28</v>
      </c>
      <c r="D295" s="86" t="s">
        <v>237</v>
      </c>
      <c r="E295" s="86" t="s">
        <v>1175</v>
      </c>
      <c r="F295" s="86" t="s">
        <v>1154</v>
      </c>
      <c r="G295" s="204">
        <v>4783</v>
      </c>
      <c r="H295" s="204">
        <v>3684</v>
      </c>
      <c r="I295" s="204">
        <v>81554</v>
      </c>
      <c r="J295" s="210">
        <v>6</v>
      </c>
      <c r="K295" s="275">
        <v>-22.942421830129732</v>
      </c>
      <c r="L295" s="287"/>
    </row>
    <row r="296" spans="1:12" x14ac:dyDescent="0.15">
      <c r="A296" s="86" t="s">
        <v>302</v>
      </c>
      <c r="B296" s="86" t="s">
        <v>1418</v>
      </c>
      <c r="C296" s="204">
        <v>220</v>
      </c>
      <c r="D296" s="86" t="s">
        <v>237</v>
      </c>
      <c r="E296" s="86" t="s">
        <v>1175</v>
      </c>
      <c r="F296" s="86" t="s">
        <v>1292</v>
      </c>
      <c r="G296" s="204">
        <v>13476.2</v>
      </c>
      <c r="H296" s="204">
        <v>16814.5</v>
      </c>
      <c r="I296" s="204">
        <v>163872</v>
      </c>
      <c r="J296" s="210">
        <v>115</v>
      </c>
      <c r="K296" s="275">
        <v>-172.06295342299435</v>
      </c>
      <c r="L296" s="287"/>
    </row>
    <row r="297" spans="1:12" x14ac:dyDescent="0.15">
      <c r="A297" s="86" t="s">
        <v>1723</v>
      </c>
      <c r="B297" s="86" t="s">
        <v>1724</v>
      </c>
      <c r="C297" s="204">
        <v>182</v>
      </c>
      <c r="D297" s="86" t="s">
        <v>237</v>
      </c>
      <c r="E297" s="86" t="s">
        <v>1175</v>
      </c>
      <c r="F297" s="86" t="s">
        <v>384</v>
      </c>
      <c r="G297" s="204">
        <v>20695</v>
      </c>
      <c r="H297" s="204">
        <v>21617</v>
      </c>
      <c r="I297" s="204">
        <v>200888</v>
      </c>
      <c r="J297" s="210">
        <v>65</v>
      </c>
      <c r="K297" s="275">
        <v>-181.19522751479883</v>
      </c>
      <c r="L297" s="287"/>
    </row>
    <row r="298" spans="1:12" x14ac:dyDescent="0.15">
      <c r="A298" s="86" t="s">
        <v>204</v>
      </c>
      <c r="B298" s="86" t="s">
        <v>1419</v>
      </c>
      <c r="C298" s="204">
        <v>70.900000000000006</v>
      </c>
      <c r="D298" s="86" t="s">
        <v>237</v>
      </c>
      <c r="E298" s="86" t="s">
        <v>1175</v>
      </c>
      <c r="F298" s="86" t="s">
        <v>1154</v>
      </c>
      <c r="G298" s="204">
        <v>4038</v>
      </c>
      <c r="H298" s="204">
        <v>4993</v>
      </c>
      <c r="I298" s="204">
        <v>34561</v>
      </c>
      <c r="J298" s="210">
        <v>11</v>
      </c>
      <c r="K298" s="275">
        <v>-1274.1833754190116</v>
      </c>
      <c r="L298" s="287"/>
    </row>
    <row r="299" spans="1:12" x14ac:dyDescent="0.15">
      <c r="A299" s="86" t="s">
        <v>847</v>
      </c>
      <c r="B299" s="86" t="s">
        <v>1420</v>
      </c>
      <c r="C299" s="204">
        <v>55.64</v>
      </c>
      <c r="D299" s="86" t="s">
        <v>237</v>
      </c>
      <c r="E299" s="86" t="s">
        <v>1175</v>
      </c>
      <c r="F299" s="86" t="s">
        <v>1154</v>
      </c>
      <c r="G299" s="204">
        <v>3501</v>
      </c>
      <c r="H299" s="204">
        <v>4536</v>
      </c>
      <c r="I299" s="204">
        <v>48186</v>
      </c>
      <c r="J299" s="210">
        <v>11</v>
      </c>
      <c r="K299" s="275">
        <v>-952.29928303828137</v>
      </c>
      <c r="L299" s="287"/>
    </row>
    <row r="300" spans="1:12" x14ac:dyDescent="0.15">
      <c r="A300" s="86" t="s">
        <v>1714</v>
      </c>
      <c r="B300" s="86" t="s">
        <v>1421</v>
      </c>
      <c r="C300" s="204">
        <v>46.55</v>
      </c>
      <c r="D300" s="86" t="s">
        <v>237</v>
      </c>
      <c r="E300" s="86" t="s">
        <v>1175</v>
      </c>
      <c r="F300" s="86" t="s">
        <v>1154</v>
      </c>
      <c r="G300" s="204">
        <v>1877</v>
      </c>
      <c r="H300" s="204">
        <v>258</v>
      </c>
      <c r="I300" s="204">
        <v>7059</v>
      </c>
      <c r="J300" s="210">
        <v>1</v>
      </c>
      <c r="K300" s="275">
        <v>-54.066609470973837</v>
      </c>
      <c r="L300" s="287"/>
    </row>
    <row r="301" spans="1:12" x14ac:dyDescent="0.15">
      <c r="A301" s="86" t="s">
        <v>296</v>
      </c>
      <c r="B301" s="86" t="s">
        <v>1422</v>
      </c>
      <c r="C301" s="204">
        <v>75.430000000000007</v>
      </c>
      <c r="D301" s="86" t="s">
        <v>237</v>
      </c>
      <c r="E301" s="86" t="s">
        <v>1175</v>
      </c>
      <c r="F301" s="86" t="s">
        <v>1154</v>
      </c>
      <c r="G301" s="204">
        <v>5798</v>
      </c>
      <c r="H301" s="204">
        <v>3815</v>
      </c>
      <c r="I301" s="204">
        <v>72922</v>
      </c>
      <c r="J301" s="210">
        <v>3</v>
      </c>
      <c r="K301" s="275">
        <v>-37.846465521546492</v>
      </c>
      <c r="L301" s="287"/>
    </row>
    <row r="302" spans="1:12" x14ac:dyDescent="0.15">
      <c r="A302" s="86" t="s">
        <v>248</v>
      </c>
      <c r="B302" s="86" t="s">
        <v>1423</v>
      </c>
      <c r="C302" s="204">
        <v>48.5</v>
      </c>
      <c r="D302" s="86" t="s">
        <v>237</v>
      </c>
      <c r="E302" s="86" t="s">
        <v>1175</v>
      </c>
      <c r="F302" s="86" t="s">
        <v>1204</v>
      </c>
      <c r="G302" s="204">
        <v>6111</v>
      </c>
      <c r="H302" s="204">
        <v>9136</v>
      </c>
      <c r="I302" s="204">
        <v>65757</v>
      </c>
      <c r="J302" s="210">
        <v>47</v>
      </c>
      <c r="K302" s="275">
        <v>-38.282232455395345</v>
      </c>
      <c r="L302" s="287"/>
    </row>
    <row r="303" spans="1:12" x14ac:dyDescent="0.15">
      <c r="A303" s="86" t="s">
        <v>1138</v>
      </c>
      <c r="B303" s="86" t="s">
        <v>1424</v>
      </c>
      <c r="C303" s="204">
        <v>60</v>
      </c>
      <c r="D303" s="86" t="s">
        <v>237</v>
      </c>
      <c r="E303" s="86" t="s">
        <v>1175</v>
      </c>
      <c r="F303" s="86" t="s">
        <v>1154</v>
      </c>
      <c r="G303" s="204">
        <v>5746</v>
      </c>
      <c r="H303" s="204">
        <v>3720</v>
      </c>
      <c r="I303" s="204">
        <v>40079</v>
      </c>
      <c r="J303" s="210">
        <v>4</v>
      </c>
      <c r="K303" s="275">
        <v>-426.19013480694485</v>
      </c>
      <c r="L303" s="287"/>
    </row>
    <row r="304" spans="1:12" x14ac:dyDescent="0.15">
      <c r="A304" s="86" t="s">
        <v>1735</v>
      </c>
      <c r="B304" s="86" t="s">
        <v>1736</v>
      </c>
      <c r="C304" s="204">
        <v>67.13</v>
      </c>
      <c r="D304" s="86" t="s">
        <v>237</v>
      </c>
      <c r="E304" s="86" t="s">
        <v>1175</v>
      </c>
      <c r="F304" s="86" t="s">
        <v>1292</v>
      </c>
      <c r="G304" s="204">
        <v>5290</v>
      </c>
      <c r="H304" s="204">
        <v>5200</v>
      </c>
      <c r="I304" s="204">
        <v>51239</v>
      </c>
      <c r="J304" s="210">
        <v>6</v>
      </c>
      <c r="K304" s="275">
        <v>-84.61895156399568</v>
      </c>
      <c r="L304" s="287"/>
    </row>
    <row r="305" spans="1:12" x14ac:dyDescent="0.15">
      <c r="A305" s="86" t="s">
        <v>1691</v>
      </c>
      <c r="B305" s="86" t="s">
        <v>1693</v>
      </c>
      <c r="C305" s="204">
        <v>60</v>
      </c>
      <c r="D305" s="86" t="s">
        <v>237</v>
      </c>
      <c r="E305" s="86" t="s">
        <v>1175</v>
      </c>
      <c r="F305" s="86" t="s">
        <v>1204</v>
      </c>
      <c r="G305" s="204">
        <v>6262</v>
      </c>
      <c r="H305" s="204">
        <v>7123</v>
      </c>
      <c r="I305" s="204">
        <v>65669</v>
      </c>
      <c r="J305" s="210">
        <v>61</v>
      </c>
      <c r="K305" s="275">
        <v>-2169.3842418914796</v>
      </c>
      <c r="L305" s="287"/>
    </row>
    <row r="306" spans="1:12" x14ac:dyDescent="0.15">
      <c r="A306" s="86" t="s">
        <v>1742</v>
      </c>
      <c r="B306" s="86" t="s">
        <v>1443</v>
      </c>
      <c r="C306" s="204">
        <v>30</v>
      </c>
      <c r="D306" s="86" t="s">
        <v>237</v>
      </c>
      <c r="E306" s="86" t="s">
        <v>1175</v>
      </c>
      <c r="F306" s="86" t="s">
        <v>1292</v>
      </c>
      <c r="G306" s="204">
        <v>1193</v>
      </c>
      <c r="H306" s="204">
        <v>2536</v>
      </c>
      <c r="I306" s="204">
        <v>20382</v>
      </c>
      <c r="J306" s="210">
        <v>6</v>
      </c>
      <c r="K306" s="275">
        <v>42.054451724980481</v>
      </c>
      <c r="L306" s="287"/>
    </row>
    <row r="307" spans="1:12" x14ac:dyDescent="0.15">
      <c r="A307" s="86" t="s">
        <v>1717</v>
      </c>
      <c r="B307" s="86" t="s">
        <v>1718</v>
      </c>
      <c r="C307" s="204">
        <v>115</v>
      </c>
      <c r="D307" s="86" t="s">
        <v>237</v>
      </c>
      <c r="E307" s="86" t="s">
        <v>1175</v>
      </c>
      <c r="F307" s="86" t="s">
        <v>1154</v>
      </c>
      <c r="G307" s="204">
        <v>9617</v>
      </c>
      <c r="H307" s="204">
        <v>16642</v>
      </c>
      <c r="I307" s="204">
        <v>124908</v>
      </c>
      <c r="J307" s="210">
        <v>20</v>
      </c>
      <c r="K307" s="275">
        <v>7.5473568538864448</v>
      </c>
      <c r="L307" s="287"/>
    </row>
    <row r="308" spans="1:12" x14ac:dyDescent="0.15">
      <c r="A308" s="86" t="s">
        <v>810</v>
      </c>
      <c r="B308" s="86" t="s">
        <v>1425</v>
      </c>
      <c r="C308" s="204">
        <v>55.43</v>
      </c>
      <c r="D308" s="86" t="s">
        <v>237</v>
      </c>
      <c r="E308" s="86" t="s">
        <v>1175</v>
      </c>
      <c r="F308" s="86" t="s">
        <v>1154</v>
      </c>
      <c r="G308" s="204">
        <v>4434.2</v>
      </c>
      <c r="H308" s="204">
        <v>6373.4</v>
      </c>
      <c r="I308" s="204">
        <v>37553.4</v>
      </c>
      <c r="J308" s="210">
        <v>14</v>
      </c>
      <c r="K308" s="275">
        <v>2.3360016872686518</v>
      </c>
      <c r="L308" s="287"/>
    </row>
    <row r="309" spans="1:12" x14ac:dyDescent="0.15">
      <c r="A309" s="86" t="s">
        <v>1678</v>
      </c>
      <c r="B309" s="86" t="s">
        <v>1679</v>
      </c>
      <c r="C309" s="204">
        <v>111.6</v>
      </c>
      <c r="D309" s="86" t="s">
        <v>237</v>
      </c>
      <c r="E309" s="86" t="s">
        <v>1175</v>
      </c>
      <c r="F309" s="86" t="s">
        <v>1154</v>
      </c>
      <c r="G309" s="204">
        <v>400</v>
      </c>
      <c r="H309" s="204">
        <v>1049</v>
      </c>
      <c r="I309" s="204">
        <v>32500</v>
      </c>
      <c r="J309" s="210">
        <v>2</v>
      </c>
      <c r="K309" s="275">
        <v>-81.693883741476611</v>
      </c>
      <c r="L309" s="287"/>
    </row>
    <row r="310" spans="1:12" x14ac:dyDescent="0.15">
      <c r="A310" s="86" t="s">
        <v>1638</v>
      </c>
      <c r="B310" s="86" t="s">
        <v>1641</v>
      </c>
      <c r="C310" s="204">
        <v>58.46</v>
      </c>
      <c r="D310" s="86" t="s">
        <v>237</v>
      </c>
      <c r="E310" s="86" t="s">
        <v>1175</v>
      </c>
      <c r="F310" s="86" t="s">
        <v>1154</v>
      </c>
      <c r="G310" s="204">
        <v>1070</v>
      </c>
      <c r="H310" s="204">
        <v>5238</v>
      </c>
      <c r="I310" s="204">
        <v>24855.600000000002</v>
      </c>
      <c r="J310" s="210">
        <v>26</v>
      </c>
      <c r="K310" s="275">
        <v>-15.638440310358437</v>
      </c>
      <c r="L310" s="287"/>
    </row>
    <row r="311" spans="1:12" x14ac:dyDescent="0.15">
      <c r="A311" s="86" t="s">
        <v>538</v>
      </c>
      <c r="B311" s="86" t="s">
        <v>1426</v>
      </c>
      <c r="C311" s="204">
        <v>44.16</v>
      </c>
      <c r="D311" s="86" t="s">
        <v>237</v>
      </c>
      <c r="E311" s="86" t="s">
        <v>1175</v>
      </c>
      <c r="F311" s="86" t="s">
        <v>1154</v>
      </c>
      <c r="G311" s="204">
        <v>6057</v>
      </c>
      <c r="H311" s="204">
        <v>2866</v>
      </c>
      <c r="I311" s="204">
        <v>52011</v>
      </c>
      <c r="J311" s="210">
        <v>10</v>
      </c>
      <c r="K311" s="275">
        <v>-7.6982892810282255</v>
      </c>
      <c r="L311" s="287"/>
    </row>
    <row r="312" spans="1:12" x14ac:dyDescent="0.15">
      <c r="A312" s="86" t="s">
        <v>256</v>
      </c>
      <c r="B312" s="86" t="s">
        <v>1427</v>
      </c>
      <c r="C312" s="204">
        <v>89.88</v>
      </c>
      <c r="D312" s="86" t="s">
        <v>237</v>
      </c>
      <c r="E312" s="86" t="s">
        <v>1175</v>
      </c>
      <c r="F312" s="86" t="s">
        <v>1154</v>
      </c>
      <c r="G312" s="204">
        <v>4907</v>
      </c>
      <c r="H312" s="204">
        <v>1270</v>
      </c>
      <c r="I312" s="204">
        <v>36979</v>
      </c>
      <c r="J312" s="210">
        <v>6</v>
      </c>
      <c r="K312" s="275">
        <v>-28.797117778757443</v>
      </c>
      <c r="L312" s="287"/>
    </row>
    <row r="313" spans="1:12" x14ac:dyDescent="0.15">
      <c r="A313" s="86" t="s">
        <v>777</v>
      </c>
      <c r="B313" s="86" t="s">
        <v>1428</v>
      </c>
      <c r="C313" s="204">
        <v>67.489999999999995</v>
      </c>
      <c r="D313" s="86" t="s">
        <v>237</v>
      </c>
      <c r="E313" s="86" t="s">
        <v>1175</v>
      </c>
      <c r="F313" s="86" t="s">
        <v>1154</v>
      </c>
      <c r="G313" s="204">
        <v>7433</v>
      </c>
      <c r="H313" s="204">
        <v>7338</v>
      </c>
      <c r="I313" s="204">
        <v>49103</v>
      </c>
      <c r="J313" s="210">
        <v>5</v>
      </c>
      <c r="K313" s="275">
        <v>-1905.5019645579307</v>
      </c>
      <c r="L313" s="287"/>
    </row>
    <row r="314" spans="1:12" x14ac:dyDescent="0.15">
      <c r="A314" s="86" t="s">
        <v>653</v>
      </c>
      <c r="B314" s="86" t="s">
        <v>1429</v>
      </c>
      <c r="C314" s="204">
        <v>120.69</v>
      </c>
      <c r="D314" s="86" t="s">
        <v>237</v>
      </c>
      <c r="E314" s="86" t="s">
        <v>1175</v>
      </c>
      <c r="F314" s="86" t="s">
        <v>1154</v>
      </c>
      <c r="G314" s="204">
        <v>3128.6</v>
      </c>
      <c r="H314" s="204">
        <v>4934.8999999999996</v>
      </c>
      <c r="I314" s="204">
        <v>67034.8</v>
      </c>
      <c r="J314" s="210">
        <v>10</v>
      </c>
      <c r="K314" s="275">
        <v>-99.078422265908799</v>
      </c>
      <c r="L314" s="287"/>
    </row>
    <row r="315" spans="1:12" x14ac:dyDescent="0.15">
      <c r="A315" s="86" t="s">
        <v>382</v>
      </c>
      <c r="B315" s="86" t="s">
        <v>1430</v>
      </c>
      <c r="C315" s="204">
        <v>100</v>
      </c>
      <c r="D315" s="86" t="s">
        <v>237</v>
      </c>
      <c r="E315" s="86" t="s">
        <v>1175</v>
      </c>
      <c r="F315" s="86" t="s">
        <v>1292</v>
      </c>
      <c r="G315" s="204">
        <v>11223</v>
      </c>
      <c r="H315" s="204">
        <v>19642</v>
      </c>
      <c r="I315" s="204">
        <v>140454</v>
      </c>
      <c r="J315" s="210">
        <v>22</v>
      </c>
      <c r="K315" s="275">
        <v>7.3761826697921755</v>
      </c>
      <c r="L315" s="287"/>
    </row>
    <row r="316" spans="1:12" x14ac:dyDescent="0.15">
      <c r="A316" s="86" t="s">
        <v>383</v>
      </c>
      <c r="B316" s="86" t="s">
        <v>1431</v>
      </c>
      <c r="C316" s="204">
        <v>137</v>
      </c>
      <c r="D316" s="86" t="s">
        <v>237</v>
      </c>
      <c r="E316" s="86" t="s">
        <v>1175</v>
      </c>
      <c r="F316" s="86" t="s">
        <v>1154</v>
      </c>
      <c r="G316" s="204">
        <v>1007</v>
      </c>
      <c r="H316" s="204">
        <v>4951</v>
      </c>
      <c r="I316" s="204">
        <v>60701</v>
      </c>
      <c r="J316" s="210">
        <v>6</v>
      </c>
      <c r="K316" s="275">
        <v>-124.9533138746</v>
      </c>
      <c r="L316" s="287"/>
    </row>
    <row r="317" spans="1:12" x14ac:dyDescent="0.15">
      <c r="A317" s="86" t="s">
        <v>771</v>
      </c>
      <c r="B317" s="86" t="s">
        <v>1432</v>
      </c>
      <c r="C317" s="204">
        <v>123.03</v>
      </c>
      <c r="D317" s="86" t="s">
        <v>237</v>
      </c>
      <c r="E317" s="86" t="s">
        <v>1175</v>
      </c>
      <c r="F317" s="86" t="s">
        <v>1154</v>
      </c>
      <c r="G317" s="204">
        <v>16871</v>
      </c>
      <c r="H317" s="204">
        <v>15365</v>
      </c>
      <c r="I317" s="204">
        <v>107926</v>
      </c>
      <c r="J317" s="210">
        <v>11</v>
      </c>
      <c r="K317" s="275">
        <v>-321.74956021821674</v>
      </c>
      <c r="L317" s="287"/>
    </row>
    <row r="318" spans="1:12" x14ac:dyDescent="0.15">
      <c r="A318" s="86" t="s">
        <v>930</v>
      </c>
      <c r="B318" s="86" t="s">
        <v>1433</v>
      </c>
      <c r="C318" s="204">
        <v>90.09</v>
      </c>
      <c r="D318" s="86" t="s">
        <v>237</v>
      </c>
      <c r="E318" s="86" t="s">
        <v>1175</v>
      </c>
      <c r="F318" s="86" t="s">
        <v>1154</v>
      </c>
      <c r="G318" s="204">
        <v>7653</v>
      </c>
      <c r="H318" s="204">
        <v>8642</v>
      </c>
      <c r="I318" s="204">
        <v>40013</v>
      </c>
      <c r="J318" s="210">
        <v>11</v>
      </c>
      <c r="K318" s="275">
        <v>-174.080056326066</v>
      </c>
      <c r="L318" s="287"/>
    </row>
    <row r="319" spans="1:12" x14ac:dyDescent="0.15">
      <c r="A319" s="86" t="s">
        <v>339</v>
      </c>
      <c r="B319" s="86" t="s">
        <v>1434</v>
      </c>
      <c r="C319" s="204">
        <v>113</v>
      </c>
      <c r="D319" s="86" t="s">
        <v>237</v>
      </c>
      <c r="E319" s="86" t="s">
        <v>1175</v>
      </c>
      <c r="F319" s="86" t="s">
        <v>1154</v>
      </c>
      <c r="G319" s="204">
        <v>21521</v>
      </c>
      <c r="H319" s="204">
        <v>24688</v>
      </c>
      <c r="I319" s="204">
        <v>310537</v>
      </c>
      <c r="J319" s="210">
        <v>28</v>
      </c>
      <c r="K319" s="275">
        <v>-428.39876037061646</v>
      </c>
      <c r="L319" s="287"/>
    </row>
    <row r="320" spans="1:12" x14ac:dyDescent="0.15">
      <c r="A320" s="86" t="s">
        <v>601</v>
      </c>
      <c r="B320" s="86" t="s">
        <v>1435</v>
      </c>
      <c r="C320" s="204">
        <v>57.85</v>
      </c>
      <c r="D320" s="86" t="s">
        <v>237</v>
      </c>
      <c r="E320" s="86" t="s">
        <v>1175</v>
      </c>
      <c r="F320" s="86" t="s">
        <v>1154</v>
      </c>
      <c r="G320" s="204">
        <v>9679</v>
      </c>
      <c r="H320" s="204">
        <v>10233</v>
      </c>
      <c r="I320" s="204">
        <v>127957</v>
      </c>
      <c r="J320" s="210">
        <v>18</v>
      </c>
      <c r="K320" s="275">
        <v>-247.07523379322288</v>
      </c>
      <c r="L320" s="287"/>
    </row>
    <row r="321" spans="1:12" x14ac:dyDescent="0.15">
      <c r="A321" s="86" t="s">
        <v>340</v>
      </c>
      <c r="B321" s="86" t="s">
        <v>1436</v>
      </c>
      <c r="C321" s="204">
        <v>255</v>
      </c>
      <c r="D321" s="86" t="s">
        <v>237</v>
      </c>
      <c r="E321" s="86" t="s">
        <v>1175</v>
      </c>
      <c r="F321" s="86" t="s">
        <v>1154</v>
      </c>
      <c r="G321" s="204">
        <v>44779</v>
      </c>
      <c r="H321" s="204">
        <v>57349</v>
      </c>
      <c r="I321" s="204">
        <v>573215</v>
      </c>
      <c r="J321" s="210">
        <v>68</v>
      </c>
      <c r="K321" s="275">
        <v>-836.65456270814968</v>
      </c>
      <c r="L321" s="287"/>
    </row>
    <row r="322" spans="1:12" x14ac:dyDescent="0.15">
      <c r="A322" s="86" t="s">
        <v>920</v>
      </c>
      <c r="B322" s="86" t="s">
        <v>1437</v>
      </c>
      <c r="C322" s="204">
        <v>150</v>
      </c>
      <c r="D322" s="86" t="s">
        <v>237</v>
      </c>
      <c r="E322" s="86" t="s">
        <v>1175</v>
      </c>
      <c r="F322" s="279" t="s">
        <v>1154</v>
      </c>
      <c r="G322" s="204">
        <v>11933.1</v>
      </c>
      <c r="H322" s="204">
        <v>18069.2</v>
      </c>
      <c r="I322" s="204">
        <v>132279.80000000002</v>
      </c>
      <c r="J322" s="210">
        <v>21</v>
      </c>
      <c r="K322" s="275">
        <v>-55.781360640539376</v>
      </c>
      <c r="L322" s="287"/>
    </row>
    <row r="323" spans="1:12" x14ac:dyDescent="0.15">
      <c r="A323" s="86" t="s">
        <v>1725</v>
      </c>
      <c r="B323" s="199" t="s">
        <v>1726</v>
      </c>
      <c r="C323" s="204">
        <v>81</v>
      </c>
      <c r="D323" s="86" t="s">
        <v>237</v>
      </c>
      <c r="E323" s="86" t="s">
        <v>1185</v>
      </c>
      <c r="F323" s="86" t="s">
        <v>385</v>
      </c>
      <c r="G323" s="204">
        <v>1440</v>
      </c>
      <c r="H323" s="204">
        <v>1632</v>
      </c>
      <c r="I323" s="204">
        <v>27365</v>
      </c>
      <c r="J323" s="210">
        <v>1</v>
      </c>
      <c r="K323" s="275">
        <v>-80.828527577343138</v>
      </c>
      <c r="L323" s="287"/>
    </row>
    <row r="324" spans="1:12" x14ac:dyDescent="0.15">
      <c r="A324" s="86" t="s">
        <v>1767</v>
      </c>
      <c r="B324" s="86" t="s">
        <v>1771</v>
      </c>
      <c r="C324" s="204">
        <v>14</v>
      </c>
      <c r="D324" s="86" t="s">
        <v>237</v>
      </c>
      <c r="E324" s="86" t="s">
        <v>1175</v>
      </c>
      <c r="F324" s="86" t="s">
        <v>1204</v>
      </c>
      <c r="G324" s="204">
        <v>1453</v>
      </c>
      <c r="H324" s="204">
        <v>3819</v>
      </c>
      <c r="I324" s="204">
        <v>17770</v>
      </c>
      <c r="J324" s="210">
        <v>6</v>
      </c>
      <c r="K324" s="275">
        <v>36.061648179126074</v>
      </c>
      <c r="L324" s="287"/>
    </row>
    <row r="325" spans="1:12" x14ac:dyDescent="0.15">
      <c r="A325" s="86" t="s">
        <v>1912</v>
      </c>
      <c r="B325" s="86" t="s">
        <v>1913</v>
      </c>
      <c r="C325" s="204">
        <v>15</v>
      </c>
      <c r="D325" s="86" t="s">
        <v>237</v>
      </c>
      <c r="E325" s="86" t="s">
        <v>1175</v>
      </c>
      <c r="F325" s="86" t="s">
        <v>1204</v>
      </c>
      <c r="G325" s="204">
        <v>869</v>
      </c>
      <c r="I325" s="204">
        <v>6914</v>
      </c>
      <c r="L325" s="287"/>
    </row>
    <row r="326" spans="1:12" x14ac:dyDescent="0.15">
      <c r="A326" s="86" t="s">
        <v>1857</v>
      </c>
      <c r="B326" s="86" t="s">
        <v>1858</v>
      </c>
      <c r="C326" s="204">
        <v>19</v>
      </c>
      <c r="D326" s="86" t="s">
        <v>237</v>
      </c>
      <c r="E326" s="86" t="s">
        <v>1175</v>
      </c>
      <c r="F326" s="86" t="s">
        <v>1182</v>
      </c>
      <c r="H326" s="204">
        <v>288</v>
      </c>
      <c r="I326" s="204">
        <v>7945</v>
      </c>
      <c r="J326" s="210">
        <v>1</v>
      </c>
      <c r="K326" s="275">
        <v>-53.202557269288619</v>
      </c>
      <c r="L326" s="287"/>
    </row>
    <row r="327" spans="1:12" x14ac:dyDescent="0.15">
      <c r="A327" s="86" t="s">
        <v>1866</v>
      </c>
      <c r="B327" s="86" t="s">
        <v>1488</v>
      </c>
      <c r="C327" s="204">
        <v>30</v>
      </c>
      <c r="D327" s="86" t="s">
        <v>237</v>
      </c>
      <c r="E327" s="86" t="s">
        <v>1175</v>
      </c>
      <c r="F327" s="86" t="s">
        <v>384</v>
      </c>
      <c r="G327" s="204">
        <v>676</v>
      </c>
      <c r="H327" s="204">
        <v>309</v>
      </c>
      <c r="I327" s="204">
        <v>2063</v>
      </c>
      <c r="J327" s="210">
        <v>3</v>
      </c>
      <c r="K327" s="275">
        <v>-84.252430730223395</v>
      </c>
      <c r="L327" s="287"/>
    </row>
    <row r="328" spans="1:12" x14ac:dyDescent="0.15">
      <c r="A328" s="86" t="s">
        <v>1027</v>
      </c>
      <c r="B328" s="86" t="s">
        <v>1438</v>
      </c>
      <c r="C328" s="204">
        <v>2346</v>
      </c>
      <c r="D328" s="86" t="s">
        <v>237</v>
      </c>
      <c r="E328" s="86" t="s">
        <v>1175</v>
      </c>
      <c r="F328" s="86" t="s">
        <v>384</v>
      </c>
      <c r="G328" s="204">
        <v>-8164.7</v>
      </c>
      <c r="H328" s="204">
        <v>36242</v>
      </c>
      <c r="I328" s="204">
        <v>258042.6</v>
      </c>
      <c r="J328" s="210">
        <v>109</v>
      </c>
      <c r="K328" s="275">
        <v>-9.4054610274479025</v>
      </c>
      <c r="L328" s="287"/>
    </row>
    <row r="329" spans="1:12" x14ac:dyDescent="0.15">
      <c r="A329" s="86" t="s">
        <v>1053</v>
      </c>
      <c r="B329" s="86" t="s">
        <v>1439</v>
      </c>
      <c r="C329" s="204">
        <v>265</v>
      </c>
      <c r="D329" s="86" t="s">
        <v>237</v>
      </c>
      <c r="E329" s="86" t="s">
        <v>1175</v>
      </c>
      <c r="F329" s="86" t="s">
        <v>1154</v>
      </c>
      <c r="G329" s="204">
        <v>32637</v>
      </c>
      <c r="H329" s="204">
        <v>23804</v>
      </c>
      <c r="I329" s="204">
        <v>248274</v>
      </c>
      <c r="J329" s="210">
        <v>35</v>
      </c>
      <c r="K329" s="275">
        <v>-1216.1411159010465</v>
      </c>
      <c r="L329" s="287"/>
    </row>
    <row r="330" spans="1:12" x14ac:dyDescent="0.15">
      <c r="A330" s="86" t="s">
        <v>1157</v>
      </c>
      <c r="B330" s="86" t="s">
        <v>1159</v>
      </c>
      <c r="C330" s="204">
        <v>170</v>
      </c>
      <c r="D330" s="86" t="s">
        <v>237</v>
      </c>
      <c r="E330" s="86" t="s">
        <v>1175</v>
      </c>
      <c r="F330" s="86" t="s">
        <v>1154</v>
      </c>
      <c r="G330" s="204">
        <v>20155.400000000001</v>
      </c>
      <c r="H330" s="204">
        <v>14279.8</v>
      </c>
      <c r="I330" s="204">
        <v>174030.8</v>
      </c>
      <c r="J330" s="210">
        <v>17</v>
      </c>
      <c r="K330" s="275">
        <v>-78.544344657817348</v>
      </c>
      <c r="L330" s="287"/>
    </row>
    <row r="331" spans="1:12" x14ac:dyDescent="0.15">
      <c r="A331" s="86" t="s">
        <v>1626</v>
      </c>
      <c r="B331" s="86" t="s">
        <v>1440</v>
      </c>
      <c r="C331" s="204">
        <v>120</v>
      </c>
      <c r="D331" s="86" t="s">
        <v>237</v>
      </c>
      <c r="E331" s="86" t="s">
        <v>1175</v>
      </c>
      <c r="F331" s="86" t="s">
        <v>1154</v>
      </c>
      <c r="G331" s="204">
        <v>8180</v>
      </c>
      <c r="H331" s="204">
        <v>11740</v>
      </c>
      <c r="I331" s="204">
        <v>126260</v>
      </c>
      <c r="J331" s="210">
        <v>23</v>
      </c>
      <c r="K331" s="275">
        <v>-202.43140473902804</v>
      </c>
      <c r="L331" s="287"/>
    </row>
    <row r="332" spans="1:12" x14ac:dyDescent="0.15">
      <c r="A332" s="86" t="s">
        <v>1750</v>
      </c>
      <c r="B332" s="86" t="s">
        <v>1760</v>
      </c>
      <c r="C332" s="204">
        <v>78</v>
      </c>
      <c r="D332" s="86" t="s">
        <v>237</v>
      </c>
      <c r="E332" s="86" t="s">
        <v>1175</v>
      </c>
      <c r="F332" s="86" t="s">
        <v>1292</v>
      </c>
      <c r="G332" s="204">
        <v>10403</v>
      </c>
      <c r="H332" s="204">
        <v>5003</v>
      </c>
      <c r="I332" s="204">
        <v>61340</v>
      </c>
      <c r="J332" s="210">
        <v>9</v>
      </c>
      <c r="K332" s="275">
        <v>-340.08557987627296</v>
      </c>
      <c r="L332" s="287"/>
    </row>
    <row r="333" spans="1:12" x14ac:dyDescent="0.15">
      <c r="A333" s="86" t="s">
        <v>1859</v>
      </c>
      <c r="B333" s="86" t="s">
        <v>1868</v>
      </c>
      <c r="C333" s="204">
        <v>10</v>
      </c>
      <c r="D333" s="86" t="s">
        <v>237</v>
      </c>
      <c r="E333" s="86" t="s">
        <v>1175</v>
      </c>
      <c r="F333" s="86" t="s">
        <v>1292</v>
      </c>
      <c r="L333" s="287"/>
    </row>
    <row r="334" spans="1:12" x14ac:dyDescent="0.15">
      <c r="A334" s="86" t="s">
        <v>561</v>
      </c>
      <c r="B334" s="86" t="s">
        <v>268</v>
      </c>
      <c r="C334" s="204">
        <v>9</v>
      </c>
      <c r="D334" s="86" t="s">
        <v>237</v>
      </c>
      <c r="E334" s="86" t="s">
        <v>1175</v>
      </c>
      <c r="F334" s="86" t="s">
        <v>1204</v>
      </c>
      <c r="H334" s="204">
        <v>300</v>
      </c>
      <c r="I334" s="204">
        <v>4844</v>
      </c>
      <c r="J334" s="210">
        <v>2</v>
      </c>
      <c r="K334" s="275">
        <v>-22.461037391769011</v>
      </c>
      <c r="L334" s="287"/>
    </row>
    <row r="335" spans="1:12" x14ac:dyDescent="0.15">
      <c r="A335" s="86" t="s">
        <v>596</v>
      </c>
      <c r="B335" s="199" t="s">
        <v>1203</v>
      </c>
      <c r="C335" s="204">
        <v>15</v>
      </c>
      <c r="D335" s="86" t="s">
        <v>237</v>
      </c>
      <c r="E335" s="86" t="s">
        <v>1175</v>
      </c>
      <c r="F335" s="86" t="s">
        <v>1204</v>
      </c>
      <c r="G335" s="204">
        <v>5163</v>
      </c>
      <c r="H335" s="204">
        <v>11526</v>
      </c>
      <c r="I335" s="204">
        <v>58172</v>
      </c>
      <c r="J335" s="210">
        <v>15</v>
      </c>
      <c r="K335" s="275">
        <v>17.295819259349287</v>
      </c>
      <c r="L335" s="287"/>
    </row>
    <row r="336" spans="1:12" x14ac:dyDescent="0.15">
      <c r="A336" s="86" t="s">
        <v>757</v>
      </c>
      <c r="B336" s="86" t="s">
        <v>1441</v>
      </c>
      <c r="C336" s="204">
        <v>15</v>
      </c>
      <c r="D336" s="86" t="s">
        <v>237</v>
      </c>
      <c r="E336" s="86" t="s">
        <v>1175</v>
      </c>
      <c r="F336" s="86" t="s">
        <v>1292</v>
      </c>
      <c r="H336" s="204">
        <v>1680</v>
      </c>
      <c r="I336" s="204">
        <v>7234</v>
      </c>
      <c r="J336" s="210">
        <v>2</v>
      </c>
      <c r="K336" s="275">
        <v>-78.048830789367969</v>
      </c>
      <c r="L336" s="287"/>
    </row>
    <row r="337" spans="1:12" x14ac:dyDescent="0.15">
      <c r="A337" s="86" t="s">
        <v>875</v>
      </c>
      <c r="B337" s="86" t="s">
        <v>1442</v>
      </c>
      <c r="C337" s="204">
        <v>10</v>
      </c>
      <c r="D337" s="86" t="s">
        <v>237</v>
      </c>
      <c r="E337" s="86" t="s">
        <v>1175</v>
      </c>
      <c r="F337" s="86" t="s">
        <v>384</v>
      </c>
      <c r="G337" s="204">
        <v>2890</v>
      </c>
      <c r="H337" s="204">
        <v>1357</v>
      </c>
      <c r="I337" s="204">
        <v>17610</v>
      </c>
      <c r="J337" s="210">
        <v>5</v>
      </c>
      <c r="K337" s="275">
        <v>-35.642008049361372</v>
      </c>
      <c r="L337" s="287"/>
    </row>
    <row r="338" spans="1:12" x14ac:dyDescent="0.15">
      <c r="A338" s="86" t="s">
        <v>1101</v>
      </c>
      <c r="B338" s="86" t="s">
        <v>1444</v>
      </c>
      <c r="C338" s="204">
        <v>20</v>
      </c>
      <c r="D338" s="86" t="s">
        <v>237</v>
      </c>
      <c r="E338" s="86" t="s">
        <v>1175</v>
      </c>
      <c r="F338" s="86" t="s">
        <v>1204</v>
      </c>
      <c r="H338" s="204">
        <v>855</v>
      </c>
      <c r="I338" s="204">
        <v>6530</v>
      </c>
      <c r="J338" s="210">
        <v>3</v>
      </c>
      <c r="K338" s="275">
        <v>-9.879502836679821</v>
      </c>
      <c r="L338" s="287"/>
    </row>
    <row r="339" spans="1:12" x14ac:dyDescent="0.15">
      <c r="A339" s="86" t="s">
        <v>1098</v>
      </c>
      <c r="B339" s="86" t="s">
        <v>1445</v>
      </c>
      <c r="C339" s="204">
        <v>20</v>
      </c>
      <c r="D339" s="86" t="s">
        <v>237</v>
      </c>
      <c r="E339" s="86" t="s">
        <v>1175</v>
      </c>
      <c r="F339" s="86" t="s">
        <v>384</v>
      </c>
      <c r="G339" s="204">
        <v>254</v>
      </c>
      <c r="H339" s="204">
        <v>359</v>
      </c>
      <c r="I339" s="204">
        <v>7314</v>
      </c>
      <c r="J339" s="210">
        <v>5</v>
      </c>
      <c r="K339" s="275">
        <v>-64.794345107920279</v>
      </c>
      <c r="L339" s="287"/>
    </row>
    <row r="340" spans="1:12" x14ac:dyDescent="0.15">
      <c r="A340" s="86" t="s">
        <v>1644</v>
      </c>
      <c r="B340" s="86" t="s">
        <v>1647</v>
      </c>
      <c r="C340" s="204">
        <v>50</v>
      </c>
      <c r="D340" s="86" t="s">
        <v>237</v>
      </c>
      <c r="E340" s="86" t="s">
        <v>1175</v>
      </c>
      <c r="F340" s="86" t="s">
        <v>1154</v>
      </c>
      <c r="L340" s="287"/>
    </row>
    <row r="341" spans="1:12" x14ac:dyDescent="0.15">
      <c r="A341" s="86" t="s">
        <v>1846</v>
      </c>
      <c r="B341" s="86" t="s">
        <v>1847</v>
      </c>
      <c r="C341" s="204">
        <v>50</v>
      </c>
      <c r="D341" s="86" t="s">
        <v>237</v>
      </c>
      <c r="E341" s="86" t="s">
        <v>1175</v>
      </c>
      <c r="F341" s="86" t="s">
        <v>1154</v>
      </c>
      <c r="K341" s="275">
        <v>89.798387096774192</v>
      </c>
      <c r="L341" s="287"/>
    </row>
    <row r="342" spans="1:12" x14ac:dyDescent="0.15">
      <c r="A342" s="86" t="s">
        <v>1894</v>
      </c>
      <c r="B342" s="86" t="s">
        <v>1895</v>
      </c>
      <c r="C342" s="204">
        <v>150</v>
      </c>
      <c r="D342" s="86" t="s">
        <v>237</v>
      </c>
      <c r="E342" s="86" t="s">
        <v>1175</v>
      </c>
      <c r="F342" s="86" t="s">
        <v>1154</v>
      </c>
      <c r="K342" s="275">
        <v>69.095556134434474</v>
      </c>
      <c r="L342" s="287"/>
    </row>
    <row r="343" spans="1:12" x14ac:dyDescent="0.15">
      <c r="A343" s="86" t="s">
        <v>1908</v>
      </c>
      <c r="B343" s="86" t="s">
        <v>1909</v>
      </c>
      <c r="C343" s="204">
        <v>50</v>
      </c>
      <c r="D343" s="86" t="s">
        <v>237</v>
      </c>
      <c r="E343" s="86" t="s">
        <v>1175</v>
      </c>
      <c r="F343" s="86" t="s">
        <v>1154</v>
      </c>
      <c r="G343" s="204">
        <v>6839.5</v>
      </c>
      <c r="I343" s="204">
        <v>0</v>
      </c>
      <c r="K343" s="275">
        <v>83.166149917928152</v>
      </c>
      <c r="L343" s="287"/>
    </row>
    <row r="344" spans="1:12" x14ac:dyDescent="0.15">
      <c r="A344" s="86" t="s">
        <v>1915</v>
      </c>
      <c r="B344" s="86" t="s">
        <v>1916</v>
      </c>
      <c r="C344" s="204">
        <v>150</v>
      </c>
      <c r="D344" s="86" t="s">
        <v>237</v>
      </c>
      <c r="E344" s="86" t="s">
        <v>1175</v>
      </c>
      <c r="F344" s="86" t="s">
        <v>1154</v>
      </c>
      <c r="H344" s="204">
        <v>17228.3</v>
      </c>
      <c r="I344" s="204">
        <v>191572.5</v>
      </c>
      <c r="J344" s="210">
        <v>96</v>
      </c>
      <c r="L344" s="287"/>
    </row>
    <row r="345" spans="1:12" x14ac:dyDescent="0.15">
      <c r="A345" s="86" t="s">
        <v>1865</v>
      </c>
      <c r="B345" s="86" t="s">
        <v>1869</v>
      </c>
      <c r="C345" s="204">
        <v>150</v>
      </c>
      <c r="D345" s="86" t="s">
        <v>237</v>
      </c>
      <c r="E345" s="86" t="s">
        <v>1175</v>
      </c>
      <c r="F345" s="86" t="s">
        <v>1292</v>
      </c>
      <c r="K345" s="275">
        <v>60.082722022787571</v>
      </c>
      <c r="L345" s="287"/>
    </row>
    <row r="346" spans="1:12" x14ac:dyDescent="0.15">
      <c r="A346" s="86" t="s">
        <v>1910</v>
      </c>
      <c r="B346" s="86" t="s">
        <v>1911</v>
      </c>
      <c r="C346" s="204">
        <v>25</v>
      </c>
      <c r="D346" s="86" t="s">
        <v>237</v>
      </c>
      <c r="E346" s="86" t="s">
        <v>1175</v>
      </c>
      <c r="F346" s="86" t="s">
        <v>1154</v>
      </c>
      <c r="G346" s="204">
        <v>4621</v>
      </c>
      <c r="I346" s="204">
        <v>12377</v>
      </c>
      <c r="K346" s="275">
        <v>51.851436265709161</v>
      </c>
      <c r="L346" s="287"/>
    </row>
    <row r="347" spans="1:12" x14ac:dyDescent="0.15">
      <c r="A347" s="86" t="s">
        <v>1874</v>
      </c>
      <c r="B347" s="199" t="s">
        <v>1875</v>
      </c>
      <c r="C347" s="204">
        <v>50</v>
      </c>
      <c r="D347" s="86" t="s">
        <v>237</v>
      </c>
      <c r="E347" s="86" t="s">
        <v>1175</v>
      </c>
      <c r="F347" s="86" t="s">
        <v>1154</v>
      </c>
      <c r="K347" s="275">
        <v>98.377722747258304</v>
      </c>
      <c r="L347" s="287"/>
    </row>
    <row r="348" spans="1:12" x14ac:dyDescent="0.15">
      <c r="A348" s="86" t="s">
        <v>1917</v>
      </c>
      <c r="B348" s="86" t="s">
        <v>1918</v>
      </c>
      <c r="C348" s="204">
        <v>50</v>
      </c>
      <c r="D348" s="86" t="s">
        <v>237</v>
      </c>
      <c r="E348" s="86" t="s">
        <v>1175</v>
      </c>
      <c r="F348" s="86" t="s">
        <v>1154</v>
      </c>
      <c r="H348" s="204">
        <v>7353</v>
      </c>
      <c r="I348" s="204">
        <v>76195</v>
      </c>
      <c r="J348" s="210">
        <v>21</v>
      </c>
      <c r="L348" s="287"/>
    </row>
    <row r="349" spans="1:12" x14ac:dyDescent="0.15">
      <c r="A349" s="86" t="s">
        <v>1907</v>
      </c>
      <c r="B349" s="86" t="s">
        <v>1462</v>
      </c>
      <c r="C349" s="204">
        <v>150</v>
      </c>
      <c r="D349" s="86" t="s">
        <v>237</v>
      </c>
      <c r="E349" s="86" t="s">
        <v>1175</v>
      </c>
      <c r="F349" s="86" t="s">
        <v>1154</v>
      </c>
      <c r="K349" s="275">
        <v>90.797968494447787</v>
      </c>
      <c r="L349" s="287"/>
    </row>
    <row r="350" spans="1:12" x14ac:dyDescent="0.15">
      <c r="A350" s="86" t="s">
        <v>1824</v>
      </c>
      <c r="B350" s="86" t="s">
        <v>1825</v>
      </c>
      <c r="C350" s="204">
        <v>50</v>
      </c>
      <c r="D350" s="86" t="s">
        <v>237</v>
      </c>
      <c r="E350" s="86" t="s">
        <v>1175</v>
      </c>
      <c r="F350" s="86" t="s">
        <v>1154</v>
      </c>
      <c r="K350" s="275">
        <v>97.325491066474314</v>
      </c>
      <c r="L350" s="287"/>
    </row>
    <row r="351" spans="1:12" x14ac:dyDescent="0.15">
      <c r="A351" s="86" t="s">
        <v>310</v>
      </c>
      <c r="B351" s="86" t="s">
        <v>1446</v>
      </c>
      <c r="C351" s="204">
        <v>330</v>
      </c>
      <c r="D351" s="86" t="s">
        <v>260</v>
      </c>
      <c r="E351" s="86" t="s">
        <v>1175</v>
      </c>
      <c r="F351" s="86" t="s">
        <v>384</v>
      </c>
      <c r="G351" s="204">
        <v>6820.3</v>
      </c>
      <c r="H351" s="204">
        <v>9356.7999999999993</v>
      </c>
      <c r="I351" s="204">
        <v>64667.100000000006</v>
      </c>
      <c r="J351" s="210">
        <v>13</v>
      </c>
      <c r="K351" s="275">
        <v>-186.05300047244674</v>
      </c>
      <c r="L351" s="287"/>
    </row>
    <row r="352" spans="1:12" x14ac:dyDescent="0.15">
      <c r="A352" s="86" t="s">
        <v>863</v>
      </c>
      <c r="B352" s="86" t="s">
        <v>1447</v>
      </c>
      <c r="C352" s="204">
        <v>130.01</v>
      </c>
      <c r="D352" s="86" t="s">
        <v>260</v>
      </c>
      <c r="E352" s="86" t="s">
        <v>1175</v>
      </c>
      <c r="F352" s="86" t="s">
        <v>1154</v>
      </c>
      <c r="G352" s="204">
        <v>39215</v>
      </c>
      <c r="H352" s="204">
        <v>1706</v>
      </c>
      <c r="I352" s="204">
        <v>45902</v>
      </c>
      <c r="J352" s="210">
        <v>9</v>
      </c>
      <c r="K352" s="275">
        <v>-58.010306349720928</v>
      </c>
      <c r="L352" s="287"/>
    </row>
    <row r="353" spans="1:12" x14ac:dyDescent="0.15">
      <c r="A353" s="86" t="s">
        <v>783</v>
      </c>
      <c r="B353" s="86" t="s">
        <v>1448</v>
      </c>
      <c r="C353" s="204">
        <v>77.67</v>
      </c>
      <c r="D353" s="86" t="s">
        <v>260</v>
      </c>
      <c r="E353" s="86" t="s">
        <v>1175</v>
      </c>
      <c r="F353" s="86" t="s">
        <v>1154</v>
      </c>
      <c r="G353" s="204">
        <v>7123.4</v>
      </c>
      <c r="H353" s="204">
        <v>232</v>
      </c>
      <c r="I353" s="204">
        <v>23104.400000000001</v>
      </c>
      <c r="J353" s="210">
        <v>1</v>
      </c>
      <c r="K353" s="275">
        <v>33.093603481876762</v>
      </c>
      <c r="L353" s="287"/>
    </row>
    <row r="354" spans="1:12" x14ac:dyDescent="0.15">
      <c r="A354" s="86" t="s">
        <v>811</v>
      </c>
      <c r="B354" s="86" t="s">
        <v>1449</v>
      </c>
      <c r="C354" s="204">
        <v>83.09</v>
      </c>
      <c r="D354" s="86" t="s">
        <v>260</v>
      </c>
      <c r="E354" s="86" t="s">
        <v>1175</v>
      </c>
      <c r="F354" s="86" t="s">
        <v>1154</v>
      </c>
      <c r="G354" s="204">
        <v>237</v>
      </c>
      <c r="H354" s="204">
        <v>1348</v>
      </c>
      <c r="I354" s="204">
        <v>17358</v>
      </c>
      <c r="J354" s="210">
        <v>3</v>
      </c>
      <c r="K354" s="275">
        <v>-205.07572640505484</v>
      </c>
      <c r="L354" s="287"/>
    </row>
    <row r="355" spans="1:12" x14ac:dyDescent="0.15">
      <c r="A355" s="86" t="s">
        <v>293</v>
      </c>
      <c r="B355" s="86" t="s">
        <v>1450</v>
      </c>
      <c r="C355" s="204">
        <v>84.31</v>
      </c>
      <c r="D355" s="86" t="s">
        <v>260</v>
      </c>
      <c r="E355" s="86" t="s">
        <v>1175</v>
      </c>
      <c r="F355" s="86" t="s">
        <v>384</v>
      </c>
      <c r="G355" s="204">
        <v>6237</v>
      </c>
      <c r="H355" s="204">
        <v>1079</v>
      </c>
      <c r="I355" s="204">
        <v>39229</v>
      </c>
      <c r="J355" s="210">
        <v>6</v>
      </c>
      <c r="K355" s="275">
        <v>-100.46027330429506</v>
      </c>
      <c r="L355" s="287"/>
    </row>
    <row r="356" spans="1:12" x14ac:dyDescent="0.15">
      <c r="A356" s="86" t="s">
        <v>726</v>
      </c>
      <c r="B356" s="86" t="s">
        <v>1451</v>
      </c>
      <c r="C356" s="204">
        <v>133.41</v>
      </c>
      <c r="D356" s="86" t="s">
        <v>260</v>
      </c>
      <c r="E356" s="86" t="s">
        <v>1175</v>
      </c>
      <c r="F356" s="86" t="s">
        <v>384</v>
      </c>
      <c r="G356" s="204">
        <v>10066</v>
      </c>
      <c r="H356" s="204">
        <v>7884</v>
      </c>
      <c r="I356" s="204">
        <v>119728</v>
      </c>
      <c r="J356" s="210">
        <v>12</v>
      </c>
      <c r="K356" s="275">
        <v>-54.907525842729378</v>
      </c>
      <c r="L356" s="287"/>
    </row>
    <row r="357" spans="1:12" x14ac:dyDescent="0.15">
      <c r="A357" s="86" t="s">
        <v>1852</v>
      </c>
      <c r="B357" s="86" t="s">
        <v>1853</v>
      </c>
      <c r="C357" s="204">
        <v>209.69</v>
      </c>
      <c r="D357" s="86" t="s">
        <v>260</v>
      </c>
      <c r="E357" s="86" t="s">
        <v>1175</v>
      </c>
      <c r="F357" s="86" t="s">
        <v>384</v>
      </c>
      <c r="G357" s="204">
        <v>16090</v>
      </c>
      <c r="H357" s="204">
        <v>14255.3</v>
      </c>
      <c r="I357" s="204">
        <v>169839.69999999998</v>
      </c>
      <c r="J357" s="210">
        <v>94</v>
      </c>
      <c r="K357" s="275">
        <v>-164.73674442243586</v>
      </c>
      <c r="L357" s="287"/>
    </row>
    <row r="358" spans="1:12" x14ac:dyDescent="0.15">
      <c r="A358" s="86" t="s">
        <v>1769</v>
      </c>
      <c r="B358" s="86" t="s">
        <v>1772</v>
      </c>
      <c r="C358" s="204">
        <v>15</v>
      </c>
      <c r="D358" s="86" t="s">
        <v>260</v>
      </c>
      <c r="E358" s="86" t="s">
        <v>1175</v>
      </c>
      <c r="F358" s="86" t="s">
        <v>384</v>
      </c>
      <c r="G358" s="204">
        <v>2190</v>
      </c>
      <c r="H358" s="204">
        <v>2758</v>
      </c>
      <c r="I358" s="204">
        <v>26748</v>
      </c>
      <c r="J358" s="210">
        <v>7</v>
      </c>
      <c r="K358" s="275">
        <v>-2235.8890201375611</v>
      </c>
      <c r="L358" s="287"/>
    </row>
    <row r="359" spans="1:12" x14ac:dyDescent="0.15">
      <c r="A359" s="86" t="s">
        <v>362</v>
      </c>
      <c r="B359" s="86" t="s">
        <v>1452</v>
      </c>
      <c r="C359" s="204">
        <v>8.36</v>
      </c>
      <c r="D359" s="86" t="s">
        <v>260</v>
      </c>
      <c r="E359" s="86" t="s">
        <v>1226</v>
      </c>
      <c r="F359" s="86" t="s">
        <v>384</v>
      </c>
      <c r="G359" s="204">
        <v>1836</v>
      </c>
      <c r="H359" s="204">
        <v>4490</v>
      </c>
      <c r="I359" s="204">
        <v>25209</v>
      </c>
      <c r="J359" s="210">
        <v>15</v>
      </c>
      <c r="K359" s="275">
        <v>-79.888535897971465</v>
      </c>
      <c r="L359" s="287"/>
    </row>
    <row r="360" spans="1:12" x14ac:dyDescent="0.15">
      <c r="A360" s="86" t="s">
        <v>363</v>
      </c>
      <c r="B360" s="86" t="s">
        <v>1453</v>
      </c>
      <c r="C360" s="204">
        <v>79.260000000000005</v>
      </c>
      <c r="D360" s="86" t="s">
        <v>260</v>
      </c>
      <c r="E360" s="86" t="s">
        <v>1175</v>
      </c>
      <c r="F360" s="86" t="s">
        <v>384</v>
      </c>
      <c r="G360" s="204">
        <v>4524</v>
      </c>
      <c r="H360" s="204">
        <v>11525</v>
      </c>
      <c r="I360" s="204">
        <v>137178</v>
      </c>
      <c r="J360" s="210">
        <v>18</v>
      </c>
      <c r="K360" s="275">
        <v>-104.28858163535315</v>
      </c>
      <c r="L360" s="287"/>
    </row>
    <row r="361" spans="1:12" x14ac:dyDescent="0.15">
      <c r="A361" s="86" t="s">
        <v>523</v>
      </c>
      <c r="B361" s="86" t="s">
        <v>1454</v>
      </c>
      <c r="C361" s="204">
        <v>270.97000000000003</v>
      </c>
      <c r="D361" s="86" t="s">
        <v>260</v>
      </c>
      <c r="E361" s="86" t="s">
        <v>1208</v>
      </c>
      <c r="F361" s="86" t="s">
        <v>1197</v>
      </c>
      <c r="G361" s="204">
        <v>16258</v>
      </c>
      <c r="H361" s="204">
        <v>1330</v>
      </c>
      <c r="I361" s="204">
        <v>32970</v>
      </c>
      <c r="J361" s="210">
        <v>2</v>
      </c>
      <c r="K361" s="275">
        <v>-184.23640074099109</v>
      </c>
      <c r="L361" s="287"/>
    </row>
    <row r="362" spans="1:12" x14ac:dyDescent="0.15">
      <c r="A362" s="86" t="s">
        <v>1664</v>
      </c>
      <c r="B362" s="86" t="s">
        <v>1665</v>
      </c>
      <c r="C362" s="204">
        <v>50.66</v>
      </c>
      <c r="D362" s="86" t="s">
        <v>260</v>
      </c>
      <c r="E362" s="86" t="s">
        <v>1175</v>
      </c>
      <c r="F362" s="86" t="s">
        <v>1154</v>
      </c>
      <c r="G362" s="204">
        <v>1409.4</v>
      </c>
      <c r="H362" s="204">
        <v>1319.2</v>
      </c>
      <c r="I362" s="204">
        <v>18117.899999999998</v>
      </c>
      <c r="J362" s="210">
        <v>2</v>
      </c>
      <c r="K362" s="275">
        <v>-48.14105091434697</v>
      </c>
      <c r="L362" s="287"/>
    </row>
    <row r="363" spans="1:12" x14ac:dyDescent="0.15">
      <c r="A363" s="86" t="s">
        <v>1666</v>
      </c>
      <c r="B363" s="86" t="s">
        <v>1667</v>
      </c>
      <c r="C363" s="204">
        <v>46</v>
      </c>
      <c r="D363" s="86" t="s">
        <v>260</v>
      </c>
      <c r="E363" s="86" t="s">
        <v>1175</v>
      </c>
      <c r="F363" s="86" t="s">
        <v>1154</v>
      </c>
      <c r="G363" s="204">
        <v>3536.6</v>
      </c>
      <c r="H363" s="204">
        <v>1535.3</v>
      </c>
      <c r="I363" s="204">
        <v>25570.6</v>
      </c>
      <c r="J363" s="210">
        <v>2</v>
      </c>
      <c r="K363" s="275">
        <v>-120.36013320436942</v>
      </c>
      <c r="L363" s="287"/>
    </row>
    <row r="364" spans="1:12" x14ac:dyDescent="0.15">
      <c r="A364" s="86" t="s">
        <v>379</v>
      </c>
      <c r="B364" s="86" t="s">
        <v>1455</v>
      </c>
      <c r="C364" s="204">
        <v>73</v>
      </c>
      <c r="D364" s="86" t="s">
        <v>260</v>
      </c>
      <c r="E364" s="86" t="s">
        <v>1175</v>
      </c>
      <c r="F364" s="86" t="s">
        <v>384</v>
      </c>
      <c r="G364" s="204">
        <v>3193</v>
      </c>
      <c r="H364" s="204">
        <v>3320</v>
      </c>
      <c r="I364" s="204">
        <v>58366</v>
      </c>
      <c r="J364" s="210">
        <v>11</v>
      </c>
      <c r="K364" s="275">
        <v>-73.403607676196089</v>
      </c>
      <c r="L364" s="287"/>
    </row>
    <row r="365" spans="1:12" x14ac:dyDescent="0.15">
      <c r="A365" s="86" t="s">
        <v>368</v>
      </c>
      <c r="B365" s="86" t="s">
        <v>1456</v>
      </c>
      <c r="C365" s="204">
        <v>73</v>
      </c>
      <c r="D365" s="86" t="s">
        <v>260</v>
      </c>
      <c r="E365" s="86" t="s">
        <v>1175</v>
      </c>
      <c r="F365" s="86" t="s">
        <v>384</v>
      </c>
      <c r="G365" s="204">
        <v>5486</v>
      </c>
      <c r="H365" s="204">
        <v>3262</v>
      </c>
      <c r="I365" s="204">
        <v>71979</v>
      </c>
      <c r="J365" s="210">
        <v>8</v>
      </c>
      <c r="K365" s="275">
        <v>-4.3032686053632085</v>
      </c>
      <c r="L365" s="287"/>
    </row>
    <row r="366" spans="1:12" x14ac:dyDescent="0.15">
      <c r="A366" s="86" t="s">
        <v>1790</v>
      </c>
      <c r="B366" s="86" t="s">
        <v>1791</v>
      </c>
      <c r="C366" s="204">
        <v>32</v>
      </c>
      <c r="D366" s="86" t="s">
        <v>260</v>
      </c>
      <c r="E366" s="86" t="s">
        <v>1175</v>
      </c>
      <c r="F366" s="86" t="s">
        <v>384</v>
      </c>
      <c r="G366" s="204">
        <v>228</v>
      </c>
      <c r="H366" s="204">
        <v>1436</v>
      </c>
      <c r="I366" s="204">
        <v>7045</v>
      </c>
      <c r="J366" s="210">
        <v>3</v>
      </c>
      <c r="K366" s="275">
        <v>-354.23016337153388</v>
      </c>
      <c r="L366" s="287"/>
    </row>
    <row r="367" spans="1:12" x14ac:dyDescent="0.15">
      <c r="A367" s="86" t="s">
        <v>361</v>
      </c>
      <c r="B367" s="86" t="s">
        <v>1457</v>
      </c>
      <c r="C367" s="204">
        <v>63</v>
      </c>
      <c r="D367" s="86" t="s">
        <v>260</v>
      </c>
      <c r="E367" s="86" t="s">
        <v>1175</v>
      </c>
      <c r="F367" s="86" t="s">
        <v>384</v>
      </c>
      <c r="G367" s="204">
        <v>9783</v>
      </c>
      <c r="H367" s="204">
        <v>1990</v>
      </c>
      <c r="I367" s="204">
        <v>33397</v>
      </c>
      <c r="J367" s="210">
        <v>3</v>
      </c>
      <c r="K367" s="275">
        <v>-8.265222164455043</v>
      </c>
      <c r="L367" s="287"/>
    </row>
    <row r="368" spans="1:12" x14ac:dyDescent="0.15">
      <c r="A368" s="86" t="s">
        <v>318</v>
      </c>
      <c r="B368" s="86" t="s">
        <v>1458</v>
      </c>
      <c r="C368" s="204">
        <v>77.16</v>
      </c>
      <c r="D368" s="86" t="s">
        <v>260</v>
      </c>
      <c r="E368" s="86" t="s">
        <v>1175</v>
      </c>
      <c r="F368" s="86" t="s">
        <v>384</v>
      </c>
      <c r="G368" s="204">
        <v>2868</v>
      </c>
      <c r="H368" s="204">
        <v>2585</v>
      </c>
      <c r="I368" s="204">
        <v>32020</v>
      </c>
      <c r="J368" s="210">
        <v>9</v>
      </c>
      <c r="K368" s="275">
        <v>-417.16296996990883</v>
      </c>
      <c r="L368" s="287"/>
    </row>
    <row r="369" spans="1:12" x14ac:dyDescent="0.15">
      <c r="A369" s="86" t="s">
        <v>731</v>
      </c>
      <c r="B369" s="86" t="s">
        <v>1459</v>
      </c>
      <c r="C369" s="204">
        <v>54.91</v>
      </c>
      <c r="D369" s="86" t="s">
        <v>260</v>
      </c>
      <c r="E369" s="86" t="s">
        <v>1175</v>
      </c>
      <c r="F369" s="86" t="s">
        <v>384</v>
      </c>
      <c r="G369" s="204">
        <v>1879</v>
      </c>
      <c r="H369" s="204">
        <v>2636</v>
      </c>
      <c r="I369" s="204">
        <v>20715</v>
      </c>
      <c r="J369" s="210">
        <v>7</v>
      </c>
      <c r="K369" s="275">
        <v>-12.297871669868066</v>
      </c>
      <c r="L369" s="287"/>
    </row>
    <row r="370" spans="1:12" x14ac:dyDescent="0.15">
      <c r="A370" s="86" t="s">
        <v>1676</v>
      </c>
      <c r="B370" s="86" t="s">
        <v>1677</v>
      </c>
      <c r="C370" s="204">
        <v>56.32</v>
      </c>
      <c r="D370" s="86" t="s">
        <v>260</v>
      </c>
      <c r="E370" s="86" t="s">
        <v>1175</v>
      </c>
      <c r="F370" s="86" t="s">
        <v>1154</v>
      </c>
      <c r="G370" s="204">
        <v>641</v>
      </c>
      <c r="H370" s="204">
        <v>1994</v>
      </c>
      <c r="I370" s="204">
        <v>11860</v>
      </c>
      <c r="J370" s="210">
        <v>1</v>
      </c>
      <c r="K370" s="275">
        <v>-770.67435327984072</v>
      </c>
      <c r="L370" s="287"/>
    </row>
    <row r="371" spans="1:12" x14ac:dyDescent="0.15">
      <c r="A371" s="86" t="s">
        <v>820</v>
      </c>
      <c r="B371" s="86" t="s">
        <v>1460</v>
      </c>
      <c r="C371" s="204">
        <v>41.22</v>
      </c>
      <c r="D371" s="86" t="s">
        <v>260</v>
      </c>
      <c r="E371" s="86" t="s">
        <v>1175</v>
      </c>
      <c r="F371" s="86" t="s">
        <v>1154</v>
      </c>
      <c r="G371" s="204">
        <v>3593</v>
      </c>
      <c r="H371" s="204">
        <v>1412</v>
      </c>
      <c r="I371" s="204">
        <v>27055</v>
      </c>
      <c r="J371" s="210">
        <v>3</v>
      </c>
      <c r="K371" s="275">
        <v>-25.378616982581793</v>
      </c>
      <c r="L371" s="287"/>
    </row>
    <row r="372" spans="1:12" x14ac:dyDescent="0.15">
      <c r="A372" s="86" t="s">
        <v>1690</v>
      </c>
      <c r="B372" s="86" t="s">
        <v>1692</v>
      </c>
      <c r="C372" s="204">
        <v>64.260000000000005</v>
      </c>
      <c r="D372" s="86" t="s">
        <v>260</v>
      </c>
      <c r="E372" s="86" t="s">
        <v>1175</v>
      </c>
      <c r="F372" s="86" t="s">
        <v>1154</v>
      </c>
      <c r="G372" s="204">
        <v>891</v>
      </c>
      <c r="H372" s="204">
        <v>3051</v>
      </c>
      <c r="I372" s="204">
        <v>33016</v>
      </c>
      <c r="J372" s="210">
        <v>4</v>
      </c>
      <c r="K372" s="275">
        <v>-107.14588937863714</v>
      </c>
      <c r="L372" s="287"/>
    </row>
    <row r="373" spans="1:12" x14ac:dyDescent="0.15">
      <c r="A373" s="86" t="s">
        <v>365</v>
      </c>
      <c r="B373" s="86" t="s">
        <v>1461</v>
      </c>
      <c r="C373" s="204">
        <v>89.48</v>
      </c>
      <c r="D373" s="86" t="s">
        <v>260</v>
      </c>
      <c r="E373" s="86" t="s">
        <v>1175</v>
      </c>
      <c r="F373" s="86" t="s">
        <v>384</v>
      </c>
      <c r="G373" s="204">
        <v>1114.3</v>
      </c>
      <c r="H373" s="204">
        <v>754</v>
      </c>
      <c r="I373" s="204">
        <v>14524.4</v>
      </c>
      <c r="J373" s="210">
        <v>2</v>
      </c>
      <c r="K373" s="275">
        <v>10.361432162279193</v>
      </c>
      <c r="L373" s="287"/>
    </row>
    <row r="374" spans="1:12" x14ac:dyDescent="0.15">
      <c r="A374" s="279" t="s">
        <v>887</v>
      </c>
      <c r="B374" s="86" t="s">
        <v>1462</v>
      </c>
      <c r="C374" s="204">
        <v>86.18</v>
      </c>
      <c r="D374" s="86" t="s">
        <v>260</v>
      </c>
      <c r="E374" s="86" t="s">
        <v>1175</v>
      </c>
      <c r="F374" s="86" t="s">
        <v>384</v>
      </c>
      <c r="G374" s="204">
        <v>3113</v>
      </c>
      <c r="H374" s="204">
        <v>1781</v>
      </c>
      <c r="I374" s="204">
        <v>23022.9</v>
      </c>
      <c r="J374" s="210">
        <v>6</v>
      </c>
      <c r="K374" s="275">
        <v>-56.105631244418539</v>
      </c>
      <c r="L374" s="287"/>
    </row>
    <row r="375" spans="1:12" x14ac:dyDescent="0.15">
      <c r="A375" s="86" t="s">
        <v>206</v>
      </c>
      <c r="B375" s="86" t="s">
        <v>1463</v>
      </c>
      <c r="C375" s="204">
        <v>103.97</v>
      </c>
      <c r="D375" s="86" t="s">
        <v>260</v>
      </c>
      <c r="E375" s="86" t="s">
        <v>1175</v>
      </c>
      <c r="F375" s="86" t="s">
        <v>1292</v>
      </c>
      <c r="G375" s="204">
        <v>3881</v>
      </c>
      <c r="H375" s="204">
        <v>6840</v>
      </c>
      <c r="I375" s="204">
        <v>57033</v>
      </c>
      <c r="J375" s="210">
        <v>18</v>
      </c>
      <c r="K375" s="275">
        <v>-96.19966417121617</v>
      </c>
      <c r="L375" s="287"/>
    </row>
    <row r="376" spans="1:12" x14ac:dyDescent="0.15">
      <c r="A376" s="86" t="s">
        <v>1019</v>
      </c>
      <c r="B376" s="86" t="s">
        <v>1464</v>
      </c>
      <c r="C376" s="204">
        <v>164</v>
      </c>
      <c r="D376" s="86" t="s">
        <v>260</v>
      </c>
      <c r="E376" s="86" t="s">
        <v>1175</v>
      </c>
      <c r="F376" s="86" t="s">
        <v>384</v>
      </c>
      <c r="G376" s="204">
        <v>4132</v>
      </c>
      <c r="H376" s="204">
        <v>528</v>
      </c>
      <c r="I376" s="204">
        <v>30306</v>
      </c>
      <c r="J376" s="210">
        <v>4</v>
      </c>
      <c r="K376" s="275">
        <v>-7.0072700329214088</v>
      </c>
      <c r="L376" s="287"/>
    </row>
    <row r="377" spans="1:12" x14ac:dyDescent="0.15">
      <c r="A377" s="86" t="s">
        <v>1737</v>
      </c>
      <c r="B377" s="86" t="s">
        <v>1738</v>
      </c>
      <c r="C377" s="204">
        <v>70.84</v>
      </c>
      <c r="D377" s="86" t="s">
        <v>260</v>
      </c>
      <c r="E377" s="86" t="s">
        <v>1175</v>
      </c>
      <c r="F377" s="86" t="s">
        <v>1204</v>
      </c>
      <c r="G377" s="204">
        <v>1797</v>
      </c>
      <c r="H377" s="204">
        <v>1949</v>
      </c>
      <c r="I377" s="204">
        <v>31697</v>
      </c>
      <c r="J377" s="210">
        <v>1</v>
      </c>
      <c r="K377" s="275">
        <v>-207.56017393023535</v>
      </c>
      <c r="L377" s="287"/>
    </row>
    <row r="378" spans="1:12" x14ac:dyDescent="0.15">
      <c r="A378" s="86" t="s">
        <v>989</v>
      </c>
      <c r="B378" s="86" t="s">
        <v>1465</v>
      </c>
      <c r="C378" s="204">
        <v>384.3</v>
      </c>
      <c r="D378" s="86" t="s">
        <v>260</v>
      </c>
      <c r="E378" s="86" t="s">
        <v>1175</v>
      </c>
      <c r="F378" s="86" t="s">
        <v>384</v>
      </c>
      <c r="G378" s="204">
        <v>10000</v>
      </c>
      <c r="I378" s="204">
        <v>165032</v>
      </c>
      <c r="K378" s="275">
        <v>32.67111000364865</v>
      </c>
      <c r="L378" s="287"/>
    </row>
    <row r="379" spans="1:12" x14ac:dyDescent="0.15">
      <c r="A379" s="86" t="s">
        <v>971</v>
      </c>
      <c r="B379" s="86" t="s">
        <v>1466</v>
      </c>
      <c r="C379" s="204">
        <v>54.6</v>
      </c>
      <c r="D379" s="86" t="s">
        <v>260</v>
      </c>
      <c r="E379" s="86" t="s">
        <v>1208</v>
      </c>
      <c r="F379" s="86" t="s">
        <v>1209</v>
      </c>
      <c r="G379" s="204">
        <v>5052</v>
      </c>
      <c r="H379" s="204">
        <v>3312</v>
      </c>
      <c r="I379" s="204">
        <v>18430</v>
      </c>
      <c r="J379" s="210">
        <v>4</v>
      </c>
      <c r="K379" s="275">
        <v>-218.20248682418097</v>
      </c>
      <c r="L379" s="287"/>
    </row>
    <row r="380" spans="1:12" x14ac:dyDescent="0.15">
      <c r="A380" s="279" t="s">
        <v>1038</v>
      </c>
      <c r="B380" s="86" t="s">
        <v>1467</v>
      </c>
      <c r="C380" s="204">
        <v>95.3</v>
      </c>
      <c r="D380" s="86" t="s">
        <v>260</v>
      </c>
      <c r="E380" s="86" t="s">
        <v>1185</v>
      </c>
      <c r="F380" s="86" t="s">
        <v>385</v>
      </c>
      <c r="G380" s="204">
        <v>4421</v>
      </c>
      <c r="H380" s="204">
        <v>4098</v>
      </c>
      <c r="I380" s="204">
        <v>49865</v>
      </c>
      <c r="J380" s="210">
        <v>45</v>
      </c>
      <c r="K380" s="275">
        <v>-284.40895002160289</v>
      </c>
      <c r="L380" s="287"/>
    </row>
    <row r="381" spans="1:12" x14ac:dyDescent="0.15">
      <c r="A381" s="86" t="s">
        <v>207</v>
      </c>
      <c r="B381" s="86" t="s">
        <v>1468</v>
      </c>
      <c r="C381" s="204">
        <v>20</v>
      </c>
      <c r="D381" s="86" t="s">
        <v>260</v>
      </c>
      <c r="E381" s="86" t="s">
        <v>1175</v>
      </c>
      <c r="F381" s="86" t="s">
        <v>384</v>
      </c>
      <c r="G381" s="204">
        <v>1215</v>
      </c>
      <c r="H381" s="204">
        <v>1184</v>
      </c>
      <c r="I381" s="204">
        <v>24262</v>
      </c>
      <c r="J381" s="210">
        <v>17</v>
      </c>
      <c r="K381" s="275">
        <v>-35.118018602037672</v>
      </c>
      <c r="L381" s="287"/>
    </row>
    <row r="382" spans="1:12" x14ac:dyDescent="0.15">
      <c r="A382" s="86" t="s">
        <v>546</v>
      </c>
      <c r="B382" s="86" t="s">
        <v>1469</v>
      </c>
      <c r="C382" s="204">
        <v>40</v>
      </c>
      <c r="D382" s="86" t="s">
        <v>260</v>
      </c>
      <c r="E382" s="86" t="s">
        <v>1175</v>
      </c>
      <c r="F382" s="86" t="s">
        <v>1197</v>
      </c>
      <c r="G382" s="204">
        <v>1410</v>
      </c>
      <c r="H382" s="204">
        <v>1440</v>
      </c>
      <c r="I382" s="204">
        <v>27960</v>
      </c>
      <c r="J382" s="210">
        <v>6</v>
      </c>
      <c r="K382" s="275">
        <v>-6.2874807219308604</v>
      </c>
      <c r="L382" s="287"/>
    </row>
    <row r="383" spans="1:12" x14ac:dyDescent="0.15">
      <c r="A383" s="86" t="s">
        <v>739</v>
      </c>
      <c r="B383" s="86" t="s">
        <v>1470</v>
      </c>
      <c r="C383" s="204">
        <v>11</v>
      </c>
      <c r="D383" s="86" t="s">
        <v>260</v>
      </c>
      <c r="E383" s="86" t="s">
        <v>1208</v>
      </c>
      <c r="F383" s="86" t="s">
        <v>384</v>
      </c>
      <c r="G383" s="204">
        <v>606</v>
      </c>
      <c r="H383" s="204">
        <v>318</v>
      </c>
      <c r="I383" s="204">
        <v>7730</v>
      </c>
      <c r="J383" s="210">
        <v>1</v>
      </c>
      <c r="K383" s="275">
        <v>-23.674366024744643</v>
      </c>
      <c r="L383" s="287"/>
    </row>
    <row r="384" spans="1:12" x14ac:dyDescent="0.15">
      <c r="A384" s="86" t="s">
        <v>853</v>
      </c>
      <c r="B384" s="199" t="s">
        <v>1471</v>
      </c>
      <c r="C384" s="204">
        <v>6</v>
      </c>
      <c r="D384" s="86" t="s">
        <v>260</v>
      </c>
      <c r="E384" s="86" t="s">
        <v>1175</v>
      </c>
      <c r="F384" s="86" t="s">
        <v>384</v>
      </c>
      <c r="L384" s="287"/>
    </row>
    <row r="385" spans="1:12" x14ac:dyDescent="0.15">
      <c r="A385" s="86" t="s">
        <v>1801</v>
      </c>
      <c r="B385" s="86" t="s">
        <v>1802</v>
      </c>
      <c r="C385" s="204">
        <v>28</v>
      </c>
      <c r="D385" s="86" t="s">
        <v>260</v>
      </c>
      <c r="E385" s="86" t="s">
        <v>1175</v>
      </c>
      <c r="F385" s="86" t="s">
        <v>384</v>
      </c>
      <c r="G385" s="204">
        <v>953.1</v>
      </c>
      <c r="H385" s="204">
        <v>2204.3000000000002</v>
      </c>
      <c r="I385" s="204">
        <v>5928</v>
      </c>
      <c r="J385" s="210">
        <v>8</v>
      </c>
      <c r="K385" s="275">
        <v>58.857607400037679</v>
      </c>
      <c r="L385" s="287"/>
    </row>
    <row r="386" spans="1:12" x14ac:dyDescent="0.15">
      <c r="A386" s="86" t="s">
        <v>1092</v>
      </c>
      <c r="B386" s="86" t="s">
        <v>1472</v>
      </c>
      <c r="C386" s="204">
        <v>28</v>
      </c>
      <c r="D386" s="86" t="s">
        <v>260</v>
      </c>
      <c r="E386" s="86" t="s">
        <v>1175</v>
      </c>
      <c r="F386" s="86" t="s">
        <v>384</v>
      </c>
      <c r="G386" s="204">
        <v>3014</v>
      </c>
      <c r="H386" s="204">
        <v>1929</v>
      </c>
      <c r="I386" s="204">
        <v>28177</v>
      </c>
      <c r="J386" s="210">
        <v>37</v>
      </c>
      <c r="K386" s="275">
        <v>-4.8413626649984609</v>
      </c>
      <c r="L386" s="287"/>
    </row>
    <row r="387" spans="1:12" x14ac:dyDescent="0.15">
      <c r="A387" s="86" t="s">
        <v>1653</v>
      </c>
      <c r="B387" s="86" t="s">
        <v>1659</v>
      </c>
      <c r="C387" s="204">
        <v>73</v>
      </c>
      <c r="D387" s="86" t="s">
        <v>260</v>
      </c>
      <c r="E387" s="86" t="s">
        <v>1175</v>
      </c>
      <c r="F387" s="86" t="s">
        <v>1292</v>
      </c>
      <c r="G387" s="204">
        <v>3711</v>
      </c>
      <c r="H387" s="204">
        <v>2378</v>
      </c>
      <c r="I387" s="204">
        <v>52468</v>
      </c>
      <c r="J387" s="210">
        <v>23</v>
      </c>
      <c r="K387" s="275">
        <v>-7.1384873038229602</v>
      </c>
      <c r="L387" s="287"/>
    </row>
    <row r="388" spans="1:12" x14ac:dyDescent="0.15">
      <c r="A388" s="86" t="s">
        <v>208</v>
      </c>
      <c r="B388" s="86" t="s">
        <v>1473</v>
      </c>
      <c r="C388" s="204">
        <v>257.77999999999997</v>
      </c>
      <c r="D388" s="86" t="s">
        <v>263</v>
      </c>
      <c r="E388" s="86" t="s">
        <v>1196</v>
      </c>
      <c r="F388" s="86" t="s">
        <v>1197</v>
      </c>
      <c r="G388" s="204">
        <v>60</v>
      </c>
      <c r="H388" s="204">
        <v>60</v>
      </c>
      <c r="I388" s="204">
        <v>77919</v>
      </c>
      <c r="J388" s="210">
        <v>3</v>
      </c>
      <c r="K388" s="275">
        <v>-28.821685755596249</v>
      </c>
      <c r="L388" s="287"/>
    </row>
    <row r="389" spans="1:12" x14ac:dyDescent="0.15">
      <c r="A389" s="86" t="s">
        <v>209</v>
      </c>
      <c r="B389" s="86" t="s">
        <v>1474</v>
      </c>
      <c r="C389" s="204">
        <v>197.41</v>
      </c>
      <c r="D389" s="86" t="s">
        <v>263</v>
      </c>
      <c r="E389" s="86" t="s">
        <v>1196</v>
      </c>
      <c r="F389" s="86" t="s">
        <v>1197</v>
      </c>
      <c r="G389" s="204">
        <v>5363</v>
      </c>
      <c r="H389" s="204">
        <v>2350</v>
      </c>
      <c r="I389" s="204">
        <v>26978</v>
      </c>
      <c r="J389" s="210">
        <v>2</v>
      </c>
      <c r="K389" s="275">
        <v>-2639.6240195705095</v>
      </c>
      <c r="L389" s="287"/>
    </row>
    <row r="390" spans="1:12" x14ac:dyDescent="0.15">
      <c r="A390" s="86" t="s">
        <v>210</v>
      </c>
      <c r="B390" s="86" t="s">
        <v>1475</v>
      </c>
      <c r="C390" s="204">
        <v>1565.07</v>
      </c>
      <c r="D390" s="86" t="s">
        <v>264</v>
      </c>
      <c r="E390" s="86" t="s">
        <v>1196</v>
      </c>
      <c r="F390" s="86" t="s">
        <v>1197</v>
      </c>
      <c r="L390" s="287"/>
    </row>
    <row r="391" spans="1:12" x14ac:dyDescent="0.15">
      <c r="A391" s="86" t="s">
        <v>211</v>
      </c>
      <c r="B391" s="86" t="s">
        <v>1476</v>
      </c>
      <c r="C391" s="204">
        <v>925.91</v>
      </c>
      <c r="D391" s="86" t="s">
        <v>264</v>
      </c>
      <c r="E391" s="86" t="s">
        <v>1196</v>
      </c>
      <c r="F391" s="86" t="s">
        <v>1197</v>
      </c>
      <c r="L391" s="287"/>
    </row>
    <row r="392" spans="1:12" x14ac:dyDescent="0.15">
      <c r="A392" s="86" t="s">
        <v>212</v>
      </c>
      <c r="B392" s="86" t="s">
        <v>1477</v>
      </c>
      <c r="C392" s="204">
        <v>182.88</v>
      </c>
      <c r="D392" s="86" t="s">
        <v>265</v>
      </c>
      <c r="E392" s="86" t="s">
        <v>1185</v>
      </c>
      <c r="F392" s="86" t="s">
        <v>385</v>
      </c>
      <c r="G392" s="204">
        <v>27341.5</v>
      </c>
      <c r="H392" s="204">
        <v>30075.5</v>
      </c>
      <c r="I392" s="204">
        <v>239108.08000000002</v>
      </c>
      <c r="J392" s="210">
        <v>659</v>
      </c>
      <c r="K392" s="275">
        <v>-211.4038982366568</v>
      </c>
      <c r="L392" s="287"/>
    </row>
    <row r="393" spans="1:12" x14ac:dyDescent="0.15">
      <c r="A393" s="86" t="s">
        <v>719</v>
      </c>
      <c r="B393" s="86" t="s">
        <v>1478</v>
      </c>
      <c r="C393" s="204">
        <v>183</v>
      </c>
      <c r="D393" s="86" t="s">
        <v>265</v>
      </c>
      <c r="E393" s="86" t="s">
        <v>1185</v>
      </c>
      <c r="F393" s="86" t="s">
        <v>385</v>
      </c>
      <c r="G393" s="204">
        <v>7790.36</v>
      </c>
      <c r="H393" s="204">
        <v>7026.4</v>
      </c>
      <c r="I393" s="204">
        <v>78605.759999999995</v>
      </c>
      <c r="J393" s="210">
        <v>92</v>
      </c>
      <c r="K393" s="275">
        <v>-189.18219347798097</v>
      </c>
      <c r="L393" s="287"/>
    </row>
    <row r="394" spans="1:12" x14ac:dyDescent="0.15">
      <c r="A394" s="86" t="s">
        <v>357</v>
      </c>
      <c r="B394" s="86" t="s">
        <v>1479</v>
      </c>
      <c r="C394" s="204">
        <v>127.91</v>
      </c>
      <c r="D394" s="86" t="s">
        <v>265</v>
      </c>
      <c r="E394" s="86" t="s">
        <v>1185</v>
      </c>
      <c r="F394" s="86" t="s">
        <v>385</v>
      </c>
      <c r="G394" s="204">
        <v>15282.4</v>
      </c>
      <c r="H394" s="204">
        <v>18349</v>
      </c>
      <c r="I394" s="204">
        <v>150125.70000000001</v>
      </c>
      <c r="J394" s="210">
        <v>3</v>
      </c>
      <c r="K394" s="275">
        <v>-40.254266341846055</v>
      </c>
      <c r="L394" s="287"/>
    </row>
    <row r="395" spans="1:12" x14ac:dyDescent="0.15">
      <c r="A395" s="86" t="s">
        <v>548</v>
      </c>
      <c r="B395" s="86" t="s">
        <v>1480</v>
      </c>
      <c r="C395" s="204">
        <v>274.88</v>
      </c>
      <c r="D395" s="86" t="s">
        <v>265</v>
      </c>
      <c r="E395" s="86" t="s">
        <v>1185</v>
      </c>
      <c r="F395" s="86" t="s">
        <v>385</v>
      </c>
      <c r="G395" s="204">
        <v>4588</v>
      </c>
      <c r="H395" s="204">
        <v>5829</v>
      </c>
      <c r="I395" s="204">
        <v>55235</v>
      </c>
      <c r="J395" s="210">
        <v>117</v>
      </c>
      <c r="K395" s="275">
        <v>-3.8216144500653693</v>
      </c>
      <c r="L395" s="287"/>
    </row>
    <row r="396" spans="1:12" x14ac:dyDescent="0.15">
      <c r="A396" s="86" t="s">
        <v>592</v>
      </c>
      <c r="B396" s="86" t="s">
        <v>1481</v>
      </c>
      <c r="C396" s="204">
        <v>608.08000000000004</v>
      </c>
      <c r="D396" s="86" t="s">
        <v>265</v>
      </c>
      <c r="E396" s="86" t="s">
        <v>1185</v>
      </c>
      <c r="F396" s="86" t="s">
        <v>385</v>
      </c>
      <c r="G396" s="204">
        <v>9207</v>
      </c>
      <c r="H396" s="204">
        <v>8066</v>
      </c>
      <c r="I396" s="204">
        <v>84111</v>
      </c>
      <c r="J396" s="210">
        <v>46</v>
      </c>
      <c r="K396" s="275">
        <v>-278.22072533098583</v>
      </c>
      <c r="L396" s="287"/>
    </row>
    <row r="397" spans="1:12" x14ac:dyDescent="0.15">
      <c r="A397" s="86" t="s">
        <v>213</v>
      </c>
      <c r="B397" s="86" t="s">
        <v>1482</v>
      </c>
      <c r="C397" s="204">
        <v>114.8</v>
      </c>
      <c r="D397" s="86" t="s">
        <v>266</v>
      </c>
      <c r="E397" s="86" t="s">
        <v>1185</v>
      </c>
      <c r="F397" s="86" t="s">
        <v>385</v>
      </c>
      <c r="G397" s="204">
        <v>9026</v>
      </c>
      <c r="H397" s="204">
        <v>6021</v>
      </c>
      <c r="I397" s="204">
        <v>62806</v>
      </c>
      <c r="J397" s="210">
        <v>120</v>
      </c>
      <c r="K397" s="275">
        <v>-833.44900450999853</v>
      </c>
      <c r="L397" s="287"/>
    </row>
    <row r="398" spans="1:12" x14ac:dyDescent="0.15">
      <c r="A398" s="86" t="s">
        <v>535</v>
      </c>
      <c r="B398" s="86" t="s">
        <v>1483</v>
      </c>
      <c r="C398" s="204">
        <v>100</v>
      </c>
      <c r="D398" s="86" t="s">
        <v>266</v>
      </c>
      <c r="E398" s="86" t="s">
        <v>1185</v>
      </c>
      <c r="F398" s="86" t="s">
        <v>385</v>
      </c>
      <c r="G398" s="204">
        <v>2741</v>
      </c>
      <c r="H398" s="204">
        <v>3834</v>
      </c>
      <c r="I398" s="204">
        <v>24657</v>
      </c>
      <c r="J398" s="210">
        <v>39</v>
      </c>
      <c r="K398" s="275">
        <v>44.343142872870636</v>
      </c>
      <c r="L398" s="287"/>
    </row>
    <row r="399" spans="1:12" x14ac:dyDescent="0.15">
      <c r="A399" s="86" t="s">
        <v>214</v>
      </c>
      <c r="B399" s="86" t="s">
        <v>1484</v>
      </c>
      <c r="C399" s="204">
        <v>370</v>
      </c>
      <c r="D399" s="86" t="s">
        <v>236</v>
      </c>
      <c r="E399" s="86" t="s">
        <v>1185</v>
      </c>
      <c r="F399" s="86" t="s">
        <v>385</v>
      </c>
      <c r="G399" s="204">
        <v>14509.2</v>
      </c>
      <c r="H399" s="204">
        <v>12015.5</v>
      </c>
      <c r="I399" s="204">
        <v>141136.4</v>
      </c>
      <c r="J399" s="210">
        <v>101</v>
      </c>
      <c r="K399" s="275">
        <v>-102.69968406682936</v>
      </c>
      <c r="L399" s="287"/>
    </row>
    <row r="400" spans="1:12" x14ac:dyDescent="0.15">
      <c r="A400" s="86" t="s">
        <v>372</v>
      </c>
      <c r="B400" s="86" t="s">
        <v>1485</v>
      </c>
      <c r="C400" s="204">
        <v>30</v>
      </c>
      <c r="D400" s="86" t="s">
        <v>236</v>
      </c>
      <c r="E400" s="86" t="s">
        <v>1185</v>
      </c>
      <c r="F400" s="86" t="s">
        <v>385</v>
      </c>
      <c r="G400" s="204">
        <v>2447</v>
      </c>
      <c r="H400" s="204">
        <v>2150</v>
      </c>
      <c r="I400" s="204">
        <v>22349</v>
      </c>
      <c r="J400" s="210">
        <v>62</v>
      </c>
      <c r="K400" s="275">
        <v>-282.55894682715456</v>
      </c>
      <c r="L400" s="287"/>
    </row>
    <row r="401" spans="1:12" x14ac:dyDescent="0.15">
      <c r="A401" s="86" t="s">
        <v>215</v>
      </c>
      <c r="B401" s="86" t="s">
        <v>1486</v>
      </c>
      <c r="C401" s="204">
        <v>60</v>
      </c>
      <c r="D401" s="86" t="s">
        <v>260</v>
      </c>
      <c r="E401" s="86" t="s">
        <v>1185</v>
      </c>
      <c r="F401" s="86" t="s">
        <v>385</v>
      </c>
      <c r="G401" s="204">
        <v>4826.6899999999996</v>
      </c>
      <c r="H401" s="204">
        <v>5664.89</v>
      </c>
      <c r="I401" s="204">
        <v>73464.31</v>
      </c>
      <c r="J401" s="210">
        <v>252</v>
      </c>
      <c r="K401" s="275">
        <v>-133.81819336733938</v>
      </c>
      <c r="L401" s="287"/>
    </row>
    <row r="402" spans="1:12" x14ac:dyDescent="0.15">
      <c r="A402" s="86" t="s">
        <v>960</v>
      </c>
      <c r="B402" s="86" t="s">
        <v>1487</v>
      </c>
      <c r="C402" s="204">
        <v>61.3</v>
      </c>
      <c r="D402" s="86" t="s">
        <v>260</v>
      </c>
      <c r="E402" s="86" t="s">
        <v>1208</v>
      </c>
      <c r="F402" s="86" t="s">
        <v>1177</v>
      </c>
      <c r="G402" s="204">
        <v>1342</v>
      </c>
      <c r="H402" s="204">
        <v>1020.8</v>
      </c>
      <c r="I402" s="204">
        <v>12763.199999999999</v>
      </c>
      <c r="J402" s="210">
        <v>6</v>
      </c>
      <c r="K402" s="275">
        <v>-226.78890018126307</v>
      </c>
      <c r="L402" s="287"/>
    </row>
    <row r="403" spans="1:12" x14ac:dyDescent="0.15">
      <c r="A403" s="86" t="s">
        <v>956</v>
      </c>
      <c r="B403" s="86" t="s">
        <v>1488</v>
      </c>
      <c r="C403" s="204">
        <v>63.92</v>
      </c>
      <c r="D403" s="86" t="s">
        <v>260</v>
      </c>
      <c r="E403" s="86" t="s">
        <v>1175</v>
      </c>
      <c r="F403" s="86" t="s">
        <v>384</v>
      </c>
      <c r="K403" s="275">
        <v>53.63636363636364</v>
      </c>
      <c r="L403" s="287"/>
    </row>
    <row r="404" spans="1:12" x14ac:dyDescent="0.15">
      <c r="A404" s="86" t="s">
        <v>954</v>
      </c>
      <c r="B404" s="86" t="s">
        <v>1489</v>
      </c>
      <c r="C404" s="204">
        <v>175</v>
      </c>
      <c r="D404" s="86" t="s">
        <v>260</v>
      </c>
      <c r="E404" s="86" t="s">
        <v>1208</v>
      </c>
      <c r="F404" s="86" t="s">
        <v>1209</v>
      </c>
      <c r="G404" s="204">
        <v>3780</v>
      </c>
      <c r="H404" s="204">
        <v>740</v>
      </c>
      <c r="I404" s="204">
        <v>51830</v>
      </c>
      <c r="J404" s="210">
        <v>4</v>
      </c>
      <c r="K404" s="275">
        <v>-13.122650641018097</v>
      </c>
      <c r="L404" s="287"/>
    </row>
    <row r="405" spans="1:12" x14ac:dyDescent="0.15">
      <c r="A405" s="86" t="s">
        <v>962</v>
      </c>
      <c r="B405" s="86" t="s">
        <v>1490</v>
      </c>
      <c r="C405" s="204">
        <v>47</v>
      </c>
      <c r="D405" s="86" t="s">
        <v>260</v>
      </c>
      <c r="E405" s="86" t="s">
        <v>1226</v>
      </c>
      <c r="F405" s="86" t="s">
        <v>385</v>
      </c>
      <c r="G405" s="204">
        <v>668</v>
      </c>
      <c r="H405" s="204">
        <v>1194</v>
      </c>
      <c r="I405" s="204">
        <v>11545</v>
      </c>
      <c r="J405" s="210">
        <v>12</v>
      </c>
      <c r="K405" s="275">
        <v>-505.95473113133949</v>
      </c>
      <c r="L405" s="287"/>
    </row>
    <row r="406" spans="1:12" x14ac:dyDescent="0.15">
      <c r="A406" s="86" t="s">
        <v>961</v>
      </c>
      <c r="B406" s="86" t="s">
        <v>1491</v>
      </c>
      <c r="C406" s="204">
        <v>48</v>
      </c>
      <c r="D406" s="86" t="s">
        <v>260</v>
      </c>
      <c r="E406" s="86" t="s">
        <v>1208</v>
      </c>
      <c r="F406" s="86" t="s">
        <v>1209</v>
      </c>
      <c r="G406" s="204">
        <v>899</v>
      </c>
      <c r="H406" s="204">
        <v>1113</v>
      </c>
      <c r="I406" s="204">
        <v>12296</v>
      </c>
      <c r="J406" s="210">
        <v>4</v>
      </c>
      <c r="K406" s="275">
        <v>-64.122051692724511</v>
      </c>
      <c r="L406" s="287"/>
    </row>
    <row r="407" spans="1:12" x14ac:dyDescent="0.15">
      <c r="A407" s="86" t="s">
        <v>986</v>
      </c>
      <c r="B407" s="86" t="s">
        <v>1492</v>
      </c>
      <c r="C407" s="204">
        <v>190</v>
      </c>
      <c r="D407" s="86" t="s">
        <v>260</v>
      </c>
      <c r="E407" s="86" t="s">
        <v>1208</v>
      </c>
      <c r="F407" s="86" t="s">
        <v>1209</v>
      </c>
      <c r="G407" s="204">
        <v>2246</v>
      </c>
      <c r="H407" s="204">
        <v>2071</v>
      </c>
      <c r="I407" s="204">
        <v>26248</v>
      </c>
      <c r="J407" s="210">
        <v>10</v>
      </c>
      <c r="K407" s="275">
        <v>-59.11045896467926</v>
      </c>
      <c r="L407" s="287"/>
    </row>
    <row r="408" spans="1:12" x14ac:dyDescent="0.15">
      <c r="A408" s="86" t="s">
        <v>959</v>
      </c>
      <c r="B408" s="86" t="s">
        <v>1493</v>
      </c>
      <c r="C408" s="204">
        <v>93.9</v>
      </c>
      <c r="D408" s="86" t="s">
        <v>260</v>
      </c>
      <c r="E408" s="86" t="s">
        <v>1196</v>
      </c>
      <c r="F408" s="86" t="s">
        <v>1189</v>
      </c>
      <c r="G408" s="204">
        <v>687</v>
      </c>
      <c r="H408" s="204">
        <v>2061</v>
      </c>
      <c r="I408" s="204">
        <v>21589</v>
      </c>
      <c r="J408" s="210">
        <v>11</v>
      </c>
      <c r="K408" s="275">
        <v>-1234.5730866806844</v>
      </c>
      <c r="L408" s="287"/>
    </row>
    <row r="409" spans="1:12" x14ac:dyDescent="0.15">
      <c r="A409" s="86" t="s">
        <v>955</v>
      </c>
      <c r="B409" s="86" t="s">
        <v>1494</v>
      </c>
      <c r="C409" s="204">
        <v>295</v>
      </c>
      <c r="D409" s="86" t="s">
        <v>260</v>
      </c>
      <c r="E409" s="86" t="s">
        <v>1196</v>
      </c>
      <c r="F409" s="86" t="s">
        <v>1197</v>
      </c>
      <c r="G409" s="204">
        <v>8397.2999999999993</v>
      </c>
      <c r="H409" s="204">
        <v>8131.5</v>
      </c>
      <c r="I409" s="204">
        <v>71554.599999999991</v>
      </c>
      <c r="J409" s="210">
        <v>106</v>
      </c>
      <c r="K409" s="275">
        <v>-601.36141018346518</v>
      </c>
      <c r="L409" s="287"/>
    </row>
    <row r="410" spans="1:12" x14ac:dyDescent="0.15">
      <c r="A410" s="86" t="s">
        <v>957</v>
      </c>
      <c r="B410" s="86" t="s">
        <v>1495</v>
      </c>
      <c r="C410" s="204">
        <v>105</v>
      </c>
      <c r="D410" s="86" t="s">
        <v>260</v>
      </c>
      <c r="E410" s="86" t="s">
        <v>1175</v>
      </c>
      <c r="F410" s="86" t="s">
        <v>384</v>
      </c>
      <c r="G410" s="204">
        <v>3590.7</v>
      </c>
      <c r="H410" s="204">
        <v>918</v>
      </c>
      <c r="I410" s="204">
        <v>18713.800000000003</v>
      </c>
      <c r="J410" s="210">
        <v>7</v>
      </c>
      <c r="K410" s="275">
        <v>-31.818993055363688</v>
      </c>
      <c r="L410" s="287"/>
    </row>
    <row r="411" spans="1:12" x14ac:dyDescent="0.15">
      <c r="A411" s="86" t="s">
        <v>991</v>
      </c>
      <c r="B411" s="86" t="s">
        <v>1496</v>
      </c>
      <c r="C411" s="204">
        <v>58.95</v>
      </c>
      <c r="D411" s="86" t="s">
        <v>260</v>
      </c>
      <c r="E411" s="86" t="s">
        <v>1175</v>
      </c>
      <c r="F411" s="86" t="s">
        <v>1182</v>
      </c>
      <c r="G411" s="204">
        <v>632</v>
      </c>
      <c r="H411" s="204">
        <v>1058</v>
      </c>
      <c r="I411" s="204">
        <v>8115</v>
      </c>
      <c r="J411" s="210">
        <v>2</v>
      </c>
      <c r="K411" s="275">
        <v>-53.850949449607313</v>
      </c>
      <c r="L411" s="287"/>
    </row>
    <row r="412" spans="1:12" x14ac:dyDescent="0.15">
      <c r="A412" s="86" t="s">
        <v>967</v>
      </c>
      <c r="B412" s="86" t="s">
        <v>1497</v>
      </c>
      <c r="C412" s="204">
        <v>145</v>
      </c>
      <c r="D412" s="86" t="s">
        <v>260</v>
      </c>
      <c r="E412" s="86" t="s">
        <v>1185</v>
      </c>
      <c r="F412" s="86" t="s">
        <v>385</v>
      </c>
      <c r="G412" s="204">
        <v>6223</v>
      </c>
      <c r="H412" s="204">
        <v>2791</v>
      </c>
      <c r="I412" s="204">
        <v>37526</v>
      </c>
      <c r="J412" s="210">
        <v>17</v>
      </c>
      <c r="K412" s="275">
        <v>-18.997749488055927</v>
      </c>
      <c r="L412" s="287"/>
    </row>
    <row r="413" spans="1:12" x14ac:dyDescent="0.15">
      <c r="A413" s="86" t="s">
        <v>958</v>
      </c>
      <c r="B413" s="86" t="s">
        <v>1498</v>
      </c>
      <c r="C413" s="204">
        <v>189.4</v>
      </c>
      <c r="D413" s="86" t="s">
        <v>260</v>
      </c>
      <c r="E413" s="86" t="s">
        <v>1175</v>
      </c>
      <c r="F413" s="86" t="s">
        <v>1189</v>
      </c>
      <c r="G413" s="204">
        <v>6282</v>
      </c>
      <c r="H413" s="204">
        <v>2980</v>
      </c>
      <c r="I413" s="204">
        <v>47457.1</v>
      </c>
      <c r="J413" s="210">
        <v>1</v>
      </c>
      <c r="K413" s="275">
        <v>-136.30882404302881</v>
      </c>
      <c r="L413" s="287"/>
    </row>
    <row r="414" spans="1:12" x14ac:dyDescent="0.15">
      <c r="A414" s="86" t="s">
        <v>1032</v>
      </c>
      <c r="B414" s="86" t="s">
        <v>1499</v>
      </c>
      <c r="C414" s="204">
        <v>132</v>
      </c>
      <c r="D414" s="86" t="s">
        <v>260</v>
      </c>
      <c r="E414" s="86" t="s">
        <v>1185</v>
      </c>
      <c r="F414" s="86" t="s">
        <v>385</v>
      </c>
      <c r="G414" s="204">
        <v>10750.5</v>
      </c>
      <c r="H414" s="204">
        <v>10006</v>
      </c>
      <c r="I414" s="204">
        <v>101181.5</v>
      </c>
      <c r="J414" s="210">
        <v>239</v>
      </c>
      <c r="K414" s="275">
        <v>-422.93347794708166</v>
      </c>
      <c r="L414" s="287"/>
    </row>
    <row r="415" spans="1:12" x14ac:dyDescent="0.15">
      <c r="A415" s="86" t="s">
        <v>992</v>
      </c>
      <c r="B415" s="86" t="s">
        <v>1500</v>
      </c>
      <c r="C415" s="204">
        <v>176</v>
      </c>
      <c r="D415" s="86" t="s">
        <v>260</v>
      </c>
      <c r="E415" s="86" t="s">
        <v>1185</v>
      </c>
      <c r="F415" s="86" t="s">
        <v>1186</v>
      </c>
      <c r="G415" s="204">
        <v>11650</v>
      </c>
      <c r="H415" s="204">
        <v>10069</v>
      </c>
      <c r="I415" s="204">
        <v>119619</v>
      </c>
      <c r="J415" s="210">
        <v>35</v>
      </c>
      <c r="K415" s="275">
        <v>-110.58650988870342</v>
      </c>
      <c r="L415" s="287"/>
    </row>
    <row r="416" spans="1:12" x14ac:dyDescent="0.15">
      <c r="A416" s="86" t="s">
        <v>1634</v>
      </c>
      <c r="B416" s="86" t="s">
        <v>1637</v>
      </c>
      <c r="C416" s="204">
        <v>25</v>
      </c>
      <c r="D416" s="86" t="s">
        <v>260</v>
      </c>
      <c r="E416" s="86" t="s">
        <v>1185</v>
      </c>
      <c r="F416" s="86" t="s">
        <v>385</v>
      </c>
      <c r="G416" s="204">
        <v>1227</v>
      </c>
      <c r="H416" s="204">
        <v>1978</v>
      </c>
      <c r="I416" s="204">
        <v>26548</v>
      </c>
      <c r="J416" s="210">
        <v>25</v>
      </c>
      <c r="K416" s="275">
        <v>-661.38491407615038</v>
      </c>
      <c r="L416" s="287"/>
    </row>
    <row r="417" spans="1:12" x14ac:dyDescent="0.15">
      <c r="A417" s="279" t="s">
        <v>892</v>
      </c>
      <c r="B417" s="86" t="s">
        <v>1501</v>
      </c>
      <c r="C417" s="204">
        <v>30</v>
      </c>
      <c r="D417" s="86" t="s">
        <v>260</v>
      </c>
      <c r="E417" s="86" t="s">
        <v>1185</v>
      </c>
      <c r="F417" s="86" t="s">
        <v>385</v>
      </c>
      <c r="G417" s="204">
        <v>1075</v>
      </c>
      <c r="H417" s="204">
        <v>955</v>
      </c>
      <c r="I417" s="204">
        <v>14664</v>
      </c>
      <c r="J417" s="210">
        <v>11</v>
      </c>
      <c r="K417" s="275">
        <v>-81.193855726948286</v>
      </c>
      <c r="L417" s="287"/>
    </row>
    <row r="418" spans="1:12" x14ac:dyDescent="0.15">
      <c r="A418" s="86" t="s">
        <v>963</v>
      </c>
      <c r="B418" s="86" t="s">
        <v>1502</v>
      </c>
      <c r="C418" s="204">
        <v>16</v>
      </c>
      <c r="D418" s="86" t="s">
        <v>260</v>
      </c>
      <c r="E418" s="86" t="s">
        <v>1185</v>
      </c>
      <c r="F418" s="86" t="s">
        <v>385</v>
      </c>
      <c r="G418" s="204">
        <v>429</v>
      </c>
      <c r="H418" s="204">
        <v>222</v>
      </c>
      <c r="I418" s="204">
        <v>6338</v>
      </c>
      <c r="J418" s="210">
        <v>6</v>
      </c>
      <c r="K418" s="275">
        <v>-4.2362580932982841</v>
      </c>
      <c r="L418" s="287"/>
    </row>
    <row r="419" spans="1:12" x14ac:dyDescent="0.15">
      <c r="A419" s="86" t="s">
        <v>747</v>
      </c>
      <c r="B419" s="86" t="s">
        <v>1503</v>
      </c>
      <c r="C419" s="204">
        <v>34</v>
      </c>
      <c r="D419" s="86" t="s">
        <v>275</v>
      </c>
      <c r="E419" s="86" t="s">
        <v>1185</v>
      </c>
      <c r="F419" s="86" t="s">
        <v>385</v>
      </c>
      <c r="G419" s="204">
        <v>1537.4</v>
      </c>
      <c r="H419" s="204">
        <v>1556</v>
      </c>
      <c r="I419" s="204">
        <v>18254.599999999999</v>
      </c>
      <c r="J419" s="210">
        <v>41</v>
      </c>
      <c r="K419" s="275">
        <v>-238.2731705558565</v>
      </c>
      <c r="L419" s="287"/>
    </row>
    <row r="420" spans="1:12" x14ac:dyDescent="0.15">
      <c r="A420" s="86" t="s">
        <v>752</v>
      </c>
      <c r="B420" s="86" t="s">
        <v>1504</v>
      </c>
      <c r="C420" s="204">
        <v>36.6</v>
      </c>
      <c r="D420" s="86" t="s">
        <v>275</v>
      </c>
      <c r="E420" s="86" t="s">
        <v>1185</v>
      </c>
      <c r="F420" s="86" t="s">
        <v>385</v>
      </c>
      <c r="G420" s="204">
        <v>1629</v>
      </c>
      <c r="H420" s="204">
        <v>1351</v>
      </c>
      <c r="I420" s="204">
        <v>20296</v>
      </c>
      <c r="J420" s="210">
        <v>13</v>
      </c>
      <c r="K420" s="275">
        <v>-89.97713403387759</v>
      </c>
      <c r="L420" s="287"/>
    </row>
    <row r="421" spans="1:12" x14ac:dyDescent="0.15">
      <c r="A421" s="86" t="s">
        <v>216</v>
      </c>
      <c r="B421" s="86" t="s">
        <v>1505</v>
      </c>
      <c r="C421" s="204">
        <v>450.98</v>
      </c>
      <c r="D421" s="86" t="s">
        <v>275</v>
      </c>
      <c r="E421" s="86" t="s">
        <v>1185</v>
      </c>
      <c r="F421" s="86" t="s">
        <v>1186</v>
      </c>
      <c r="G421" s="204">
        <v>21003</v>
      </c>
      <c r="H421" s="204">
        <v>15874</v>
      </c>
      <c r="I421" s="204">
        <v>241269</v>
      </c>
      <c r="J421" s="210">
        <v>36</v>
      </c>
      <c r="K421" s="275">
        <v>-108.83439025936651</v>
      </c>
      <c r="L421" s="287"/>
    </row>
    <row r="422" spans="1:12" x14ac:dyDescent="0.15">
      <c r="A422" s="86" t="s">
        <v>217</v>
      </c>
      <c r="B422" s="86" t="s">
        <v>1506</v>
      </c>
      <c r="C422" s="204">
        <v>390.86</v>
      </c>
      <c r="D422" s="86" t="s">
        <v>275</v>
      </c>
      <c r="E422" s="86" t="s">
        <v>1185</v>
      </c>
      <c r="F422" s="86" t="s">
        <v>385</v>
      </c>
      <c r="G422" s="204">
        <v>10786.4</v>
      </c>
      <c r="H422" s="204">
        <v>6414.2</v>
      </c>
      <c r="I422" s="204">
        <v>128963.90000000001</v>
      </c>
      <c r="J422" s="210">
        <v>42</v>
      </c>
      <c r="K422" s="275">
        <v>-14.736682914658594</v>
      </c>
      <c r="L422" s="287"/>
    </row>
    <row r="423" spans="1:12" x14ac:dyDescent="0.15">
      <c r="A423" s="86" t="s">
        <v>812</v>
      </c>
      <c r="B423" s="86" t="s">
        <v>1507</v>
      </c>
      <c r="C423" s="204">
        <v>94.06</v>
      </c>
      <c r="D423" s="86" t="s">
        <v>275</v>
      </c>
      <c r="E423" s="86" t="s">
        <v>1185</v>
      </c>
      <c r="F423" s="86" t="s">
        <v>385</v>
      </c>
      <c r="G423" s="204">
        <v>12399.7</v>
      </c>
      <c r="H423" s="204">
        <v>13837.5</v>
      </c>
      <c r="I423" s="204">
        <v>105312.5</v>
      </c>
      <c r="J423" s="210">
        <v>239</v>
      </c>
      <c r="K423" s="275">
        <v>-1516.5863395288643</v>
      </c>
      <c r="L423" s="287"/>
    </row>
    <row r="424" spans="1:12" x14ac:dyDescent="0.15">
      <c r="A424" s="86" t="s">
        <v>218</v>
      </c>
      <c r="B424" s="86" t="s">
        <v>1508</v>
      </c>
      <c r="C424" s="204">
        <v>486.46</v>
      </c>
      <c r="D424" s="86" t="s">
        <v>275</v>
      </c>
      <c r="E424" s="86" t="s">
        <v>1185</v>
      </c>
      <c r="F424" s="86" t="s">
        <v>385</v>
      </c>
      <c r="G424" s="204">
        <v>37173</v>
      </c>
      <c r="H424" s="204">
        <v>37967.5</v>
      </c>
      <c r="I424" s="204">
        <v>370084</v>
      </c>
      <c r="J424" s="210">
        <v>468</v>
      </c>
      <c r="K424" s="275">
        <v>-2970.0884039082785</v>
      </c>
      <c r="L424" s="287"/>
    </row>
    <row r="425" spans="1:12" x14ac:dyDescent="0.15">
      <c r="A425" s="86" t="s">
        <v>760</v>
      </c>
      <c r="B425" s="86" t="s">
        <v>1509</v>
      </c>
      <c r="C425" s="204">
        <v>720</v>
      </c>
      <c r="D425" s="86" t="s">
        <v>275</v>
      </c>
      <c r="E425" s="86" t="s">
        <v>1185</v>
      </c>
      <c r="F425" s="86" t="s">
        <v>1186</v>
      </c>
      <c r="G425" s="204">
        <v>49467</v>
      </c>
      <c r="H425" s="204">
        <v>51210</v>
      </c>
      <c r="I425" s="204">
        <v>395539</v>
      </c>
      <c r="J425" s="210">
        <v>369</v>
      </c>
      <c r="K425" s="275">
        <v>-10695.298145916273</v>
      </c>
      <c r="L425" s="287"/>
    </row>
    <row r="426" spans="1:12" x14ac:dyDescent="0.15">
      <c r="A426" s="86" t="s">
        <v>219</v>
      </c>
      <c r="B426" s="86" t="s">
        <v>1510</v>
      </c>
      <c r="C426" s="204">
        <v>615.91999999999996</v>
      </c>
      <c r="D426" s="86" t="s">
        <v>275</v>
      </c>
      <c r="E426" s="86" t="s">
        <v>1185</v>
      </c>
      <c r="F426" s="86" t="s">
        <v>1186</v>
      </c>
      <c r="G426" s="204">
        <v>16292</v>
      </c>
      <c r="H426" s="204">
        <v>16757</v>
      </c>
      <c r="I426" s="204">
        <v>178083</v>
      </c>
      <c r="J426" s="210">
        <v>101</v>
      </c>
      <c r="K426" s="275">
        <v>-568.55867058898355</v>
      </c>
      <c r="L426" s="287"/>
    </row>
    <row r="427" spans="1:12" x14ac:dyDescent="0.15">
      <c r="A427" s="86" t="s">
        <v>939</v>
      </c>
      <c r="B427" s="199" t="s">
        <v>1511</v>
      </c>
      <c r="C427" s="204">
        <v>303.01</v>
      </c>
      <c r="D427" s="86" t="s">
        <v>275</v>
      </c>
      <c r="E427" s="86" t="s">
        <v>1185</v>
      </c>
      <c r="F427" s="86" t="s">
        <v>385</v>
      </c>
      <c r="G427" s="204">
        <v>20309</v>
      </c>
      <c r="H427" s="204">
        <v>18027</v>
      </c>
      <c r="I427" s="204">
        <v>203316</v>
      </c>
      <c r="J427" s="210">
        <v>106</v>
      </c>
      <c r="K427" s="275">
        <v>-738.75865196674931</v>
      </c>
      <c r="L427" s="287"/>
    </row>
    <row r="428" spans="1:12" x14ac:dyDescent="0.15">
      <c r="A428" s="86" t="s">
        <v>1609</v>
      </c>
      <c r="B428" s="86" t="s">
        <v>1610</v>
      </c>
      <c r="C428" s="204">
        <v>45</v>
      </c>
      <c r="D428" s="86" t="s">
        <v>275</v>
      </c>
      <c r="E428" s="86" t="s">
        <v>1185</v>
      </c>
      <c r="F428" s="86" t="s">
        <v>1186</v>
      </c>
      <c r="G428" s="204">
        <v>11824</v>
      </c>
      <c r="H428" s="204">
        <v>8929</v>
      </c>
      <c r="I428" s="204">
        <v>109600</v>
      </c>
      <c r="J428" s="210">
        <v>61</v>
      </c>
      <c r="K428" s="275">
        <v>-183.35355796082729</v>
      </c>
      <c r="L428" s="287"/>
    </row>
    <row r="429" spans="1:12" x14ac:dyDescent="0.15">
      <c r="A429" s="86" t="s">
        <v>1684</v>
      </c>
      <c r="B429" s="86" t="s">
        <v>1685</v>
      </c>
      <c r="C429" s="204">
        <v>122.19</v>
      </c>
      <c r="D429" s="86" t="s">
        <v>275</v>
      </c>
      <c r="E429" s="86" t="s">
        <v>1185</v>
      </c>
      <c r="F429" s="86" t="s">
        <v>385</v>
      </c>
      <c r="G429" s="204">
        <v>4859</v>
      </c>
      <c r="H429" s="204">
        <v>5669</v>
      </c>
      <c r="I429" s="204">
        <v>49475</v>
      </c>
      <c r="J429" s="210">
        <v>87</v>
      </c>
      <c r="K429" s="275">
        <v>10.360419779465602</v>
      </c>
      <c r="L429" s="287"/>
    </row>
    <row r="430" spans="1:12" x14ac:dyDescent="0.15">
      <c r="A430" s="86" t="s">
        <v>220</v>
      </c>
      <c r="B430" s="199" t="s">
        <v>1515</v>
      </c>
      <c r="C430" s="204">
        <v>223.06</v>
      </c>
      <c r="D430" s="86" t="s">
        <v>275</v>
      </c>
      <c r="E430" s="86" t="s">
        <v>1185</v>
      </c>
      <c r="F430" s="86" t="s">
        <v>385</v>
      </c>
      <c r="G430" s="204">
        <v>13603.3</v>
      </c>
      <c r="H430" s="204">
        <v>9650.5</v>
      </c>
      <c r="I430" s="204">
        <v>110253.3</v>
      </c>
      <c r="J430" s="210">
        <v>52</v>
      </c>
      <c r="K430" s="275">
        <v>-1450.338099410694</v>
      </c>
      <c r="L430" s="287"/>
    </row>
    <row r="431" spans="1:12" x14ac:dyDescent="0.15">
      <c r="A431" s="86" t="s">
        <v>1840</v>
      </c>
      <c r="B431" s="86" t="s">
        <v>1841</v>
      </c>
      <c r="C431" s="204">
        <v>179.7</v>
      </c>
      <c r="D431" s="86" t="s">
        <v>275</v>
      </c>
      <c r="E431" s="86" t="s">
        <v>1185</v>
      </c>
      <c r="F431" s="86" t="s">
        <v>1186</v>
      </c>
      <c r="G431" s="204">
        <v>9065</v>
      </c>
      <c r="H431" s="204">
        <v>8166</v>
      </c>
      <c r="I431" s="204">
        <v>81821</v>
      </c>
      <c r="J431" s="210">
        <v>96</v>
      </c>
      <c r="K431" s="275">
        <v>-60.599763861695436</v>
      </c>
      <c r="L431" s="287"/>
    </row>
    <row r="432" spans="1:12" x14ac:dyDescent="0.15">
      <c r="A432" s="86" t="s">
        <v>1141</v>
      </c>
      <c r="B432" s="86" t="s">
        <v>1512</v>
      </c>
      <c r="C432" s="204">
        <v>90.6</v>
      </c>
      <c r="D432" s="86" t="s">
        <v>275</v>
      </c>
      <c r="E432" s="86" t="s">
        <v>1185</v>
      </c>
      <c r="F432" s="86" t="s">
        <v>385</v>
      </c>
      <c r="G432" s="204">
        <v>17965</v>
      </c>
      <c r="H432" s="204">
        <v>17423</v>
      </c>
      <c r="I432" s="204">
        <v>160995</v>
      </c>
      <c r="J432" s="210">
        <v>175</v>
      </c>
      <c r="K432" s="275">
        <v>-1260.2020420297638</v>
      </c>
      <c r="L432" s="287"/>
    </row>
    <row r="433" spans="1:12" x14ac:dyDescent="0.15">
      <c r="A433" s="86" t="s">
        <v>940</v>
      </c>
      <c r="B433" s="86" t="s">
        <v>1513</v>
      </c>
      <c r="C433" s="204">
        <v>488.17</v>
      </c>
      <c r="D433" s="86" t="s">
        <v>275</v>
      </c>
      <c r="E433" s="86" t="s">
        <v>1185</v>
      </c>
      <c r="F433" s="86" t="s">
        <v>1186</v>
      </c>
      <c r="G433" s="204">
        <v>20727</v>
      </c>
      <c r="H433" s="204">
        <v>21153</v>
      </c>
      <c r="I433" s="204">
        <v>178530</v>
      </c>
      <c r="J433" s="210">
        <v>45</v>
      </c>
      <c r="K433" s="275">
        <v>-1055.3421388596651</v>
      </c>
      <c r="L433" s="287"/>
    </row>
    <row r="434" spans="1:12" x14ac:dyDescent="0.15">
      <c r="A434" s="86" t="s">
        <v>558</v>
      </c>
      <c r="B434" s="86" t="s">
        <v>1516</v>
      </c>
      <c r="C434" s="204">
        <v>125</v>
      </c>
      <c r="D434" s="86" t="s">
        <v>275</v>
      </c>
      <c r="E434" s="86" t="s">
        <v>1185</v>
      </c>
      <c r="F434" s="86" t="s">
        <v>385</v>
      </c>
      <c r="G434" s="204">
        <v>5300</v>
      </c>
      <c r="H434" s="204">
        <v>4920.5</v>
      </c>
      <c r="I434" s="204">
        <v>60214.5</v>
      </c>
      <c r="J434" s="210">
        <v>81</v>
      </c>
      <c r="K434" s="275">
        <v>-161.32632742097331</v>
      </c>
      <c r="L434" s="287"/>
    </row>
    <row r="435" spans="1:12" x14ac:dyDescent="0.15">
      <c r="A435" s="86" t="s">
        <v>557</v>
      </c>
      <c r="B435" s="86" t="s">
        <v>1517</v>
      </c>
      <c r="C435" s="204">
        <v>240</v>
      </c>
      <c r="D435" s="86" t="s">
        <v>275</v>
      </c>
      <c r="E435" s="86" t="s">
        <v>1185</v>
      </c>
      <c r="F435" s="86" t="s">
        <v>1186</v>
      </c>
      <c r="G435" s="204">
        <v>15495</v>
      </c>
      <c r="H435" s="204">
        <v>12534</v>
      </c>
      <c r="I435" s="204">
        <v>131849</v>
      </c>
      <c r="J435" s="210">
        <v>11</v>
      </c>
      <c r="K435" s="275">
        <v>-480.19412429918412</v>
      </c>
      <c r="L435" s="287"/>
    </row>
    <row r="436" spans="1:12" x14ac:dyDescent="0.15">
      <c r="A436" s="86" t="s">
        <v>1148</v>
      </c>
      <c r="B436" s="86" t="s">
        <v>1518</v>
      </c>
      <c r="C436" s="204">
        <v>404</v>
      </c>
      <c r="D436" s="86" t="s">
        <v>275</v>
      </c>
      <c r="E436" s="86" t="s">
        <v>1185</v>
      </c>
      <c r="F436" s="86" t="s">
        <v>385</v>
      </c>
      <c r="G436" s="204">
        <v>21210</v>
      </c>
      <c r="H436" s="204">
        <v>22762</v>
      </c>
      <c r="I436" s="204">
        <v>217895</v>
      </c>
      <c r="J436" s="210">
        <v>104</v>
      </c>
      <c r="K436" s="275">
        <v>-6785.155553730925</v>
      </c>
      <c r="L436" s="287"/>
    </row>
    <row r="437" spans="1:12" x14ac:dyDescent="0.15">
      <c r="A437" s="86" t="s">
        <v>1091</v>
      </c>
      <c r="B437" s="86" t="s">
        <v>1519</v>
      </c>
      <c r="C437" s="204">
        <v>75.19</v>
      </c>
      <c r="D437" s="86" t="s">
        <v>275</v>
      </c>
      <c r="E437" s="86" t="s">
        <v>1185</v>
      </c>
      <c r="F437" s="86" t="s">
        <v>385</v>
      </c>
      <c r="G437" s="204">
        <v>17880</v>
      </c>
      <c r="H437" s="204">
        <v>19477.8</v>
      </c>
      <c r="I437" s="204">
        <v>175494.89999999997</v>
      </c>
      <c r="J437" s="210">
        <v>141</v>
      </c>
      <c r="K437" s="275">
        <v>-354.53305353508108</v>
      </c>
    </row>
    <row r="438" spans="1:12" x14ac:dyDescent="0.15">
      <c r="A438" s="86" t="s">
        <v>915</v>
      </c>
      <c r="B438" s="86" t="s">
        <v>1520</v>
      </c>
      <c r="C438" s="204">
        <v>402.76</v>
      </c>
      <c r="D438" s="86" t="s">
        <v>275</v>
      </c>
      <c r="E438" s="86" t="s">
        <v>1185</v>
      </c>
      <c r="F438" s="86" t="s">
        <v>1186</v>
      </c>
      <c r="G438" s="204">
        <v>40837</v>
      </c>
      <c r="H438" s="204">
        <v>40263</v>
      </c>
      <c r="I438" s="204">
        <v>356559</v>
      </c>
      <c r="J438" s="210">
        <v>78</v>
      </c>
      <c r="K438" s="275">
        <v>-17072.467372576499</v>
      </c>
    </row>
    <row r="439" spans="1:12" x14ac:dyDescent="0.15">
      <c r="A439" s="86" t="s">
        <v>529</v>
      </c>
      <c r="B439" s="86" t="s">
        <v>1521</v>
      </c>
      <c r="C439" s="204">
        <v>15</v>
      </c>
      <c r="D439" s="86" t="s">
        <v>275</v>
      </c>
      <c r="E439" s="86" t="s">
        <v>1185</v>
      </c>
      <c r="F439" s="86" t="s">
        <v>385</v>
      </c>
      <c r="G439" s="204">
        <v>1521</v>
      </c>
      <c r="H439" s="204">
        <v>1222</v>
      </c>
      <c r="I439" s="204">
        <v>15714</v>
      </c>
      <c r="J439" s="210">
        <v>37</v>
      </c>
      <c r="K439" s="275">
        <v>-257.38358438401866</v>
      </c>
    </row>
    <row r="440" spans="1:12" x14ac:dyDescent="0.15">
      <c r="A440" s="86" t="s">
        <v>341</v>
      </c>
      <c r="B440" s="86" t="s">
        <v>1522</v>
      </c>
      <c r="C440" s="204">
        <v>150</v>
      </c>
      <c r="D440" s="86" t="s">
        <v>275</v>
      </c>
      <c r="E440" s="86" t="s">
        <v>1185</v>
      </c>
      <c r="F440" s="86" t="s">
        <v>385</v>
      </c>
      <c r="G440" s="204">
        <v>26306</v>
      </c>
      <c r="H440" s="204">
        <v>30329</v>
      </c>
      <c r="I440" s="204">
        <v>261988</v>
      </c>
      <c r="J440" s="210">
        <v>125</v>
      </c>
      <c r="K440" s="275">
        <v>-101.86760674135473</v>
      </c>
    </row>
    <row r="441" spans="1:12" x14ac:dyDescent="0.15">
      <c r="A441" s="279" t="s">
        <v>990</v>
      </c>
      <c r="B441" s="86" t="s">
        <v>1523</v>
      </c>
      <c r="C441" s="204">
        <v>263</v>
      </c>
      <c r="D441" s="86" t="s">
        <v>275</v>
      </c>
      <c r="E441" s="86" t="s">
        <v>1185</v>
      </c>
      <c r="F441" s="86" t="s">
        <v>385</v>
      </c>
      <c r="G441" s="204">
        <v>9748</v>
      </c>
      <c r="H441" s="204">
        <v>13044</v>
      </c>
      <c r="I441" s="204">
        <v>156217</v>
      </c>
      <c r="J441" s="210">
        <v>47</v>
      </c>
      <c r="K441" s="275">
        <v>-301.54045890917774</v>
      </c>
    </row>
    <row r="442" spans="1:12" x14ac:dyDescent="0.15">
      <c r="A442" s="86" t="s">
        <v>531</v>
      </c>
      <c r="B442" s="86" t="s">
        <v>1524</v>
      </c>
      <c r="C442" s="204">
        <v>56</v>
      </c>
      <c r="D442" s="86" t="s">
        <v>275</v>
      </c>
      <c r="E442" s="86" t="s">
        <v>1185</v>
      </c>
      <c r="F442" s="86" t="s">
        <v>385</v>
      </c>
      <c r="G442" s="204">
        <v>2220</v>
      </c>
      <c r="H442" s="204">
        <v>3251</v>
      </c>
      <c r="I442" s="204">
        <v>35504</v>
      </c>
      <c r="J442" s="210">
        <v>78</v>
      </c>
      <c r="K442" s="275">
        <v>-772.46899895918182</v>
      </c>
    </row>
    <row r="443" spans="1:12" x14ac:dyDescent="0.15">
      <c r="A443" s="86" t="s">
        <v>973</v>
      </c>
      <c r="B443" s="86" t="s">
        <v>1525</v>
      </c>
      <c r="C443" s="204">
        <v>185</v>
      </c>
      <c r="D443" s="86" t="s">
        <v>275</v>
      </c>
      <c r="E443" s="86" t="s">
        <v>1185</v>
      </c>
      <c r="F443" s="86" t="s">
        <v>1186</v>
      </c>
      <c r="G443" s="204">
        <v>12941</v>
      </c>
      <c r="H443" s="204">
        <v>9787</v>
      </c>
      <c r="I443" s="204">
        <v>142544</v>
      </c>
      <c r="J443" s="210">
        <v>40</v>
      </c>
      <c r="K443" s="275">
        <v>-767.41927278796072</v>
      </c>
    </row>
    <row r="444" spans="1:12" x14ac:dyDescent="0.15">
      <c r="A444" s="86" t="s">
        <v>982</v>
      </c>
      <c r="B444" s="86" t="s">
        <v>1526</v>
      </c>
      <c r="C444" s="204">
        <v>445</v>
      </c>
      <c r="D444" s="86" t="s">
        <v>275</v>
      </c>
      <c r="E444" s="86" t="s">
        <v>1185</v>
      </c>
      <c r="F444" s="86" t="s">
        <v>385</v>
      </c>
      <c r="G444" s="204">
        <v>16536</v>
      </c>
      <c r="H444" s="204">
        <v>16804</v>
      </c>
      <c r="I444" s="204">
        <v>160808</v>
      </c>
      <c r="J444" s="210">
        <v>44</v>
      </c>
      <c r="K444" s="275">
        <v>-203.1220338090672</v>
      </c>
    </row>
    <row r="445" spans="1:12" x14ac:dyDescent="0.15">
      <c r="A445" s="86" t="s">
        <v>1037</v>
      </c>
      <c r="B445" s="199" t="s">
        <v>1527</v>
      </c>
      <c r="C445" s="204">
        <v>247.15</v>
      </c>
      <c r="D445" s="86" t="s">
        <v>275</v>
      </c>
      <c r="E445" s="86" t="s">
        <v>1185</v>
      </c>
      <c r="F445" s="86" t="s">
        <v>1186</v>
      </c>
      <c r="G445" s="204">
        <v>10753</v>
      </c>
      <c r="H445" s="204">
        <v>13050</v>
      </c>
      <c r="I445" s="204">
        <v>133375</v>
      </c>
      <c r="J445" s="210">
        <v>27</v>
      </c>
      <c r="K445" s="275">
        <v>-92.61856451422554</v>
      </c>
    </row>
    <row r="446" spans="1:12" x14ac:dyDescent="0.15">
      <c r="A446" s="86" t="s">
        <v>983</v>
      </c>
      <c r="B446" s="86" t="s">
        <v>1528</v>
      </c>
      <c r="C446" s="204">
        <v>298</v>
      </c>
      <c r="D446" s="86" t="s">
        <v>275</v>
      </c>
      <c r="E446" s="86" t="s">
        <v>1185</v>
      </c>
      <c r="F446" s="86" t="s">
        <v>385</v>
      </c>
      <c r="G446" s="204">
        <v>8200</v>
      </c>
      <c r="H446" s="204">
        <v>7536</v>
      </c>
      <c r="I446" s="204">
        <v>103264</v>
      </c>
      <c r="J446" s="210">
        <v>16</v>
      </c>
      <c r="K446" s="275">
        <v>-902.69222419625009</v>
      </c>
    </row>
    <row r="447" spans="1:12" x14ac:dyDescent="0.15">
      <c r="A447" s="86" t="s">
        <v>950</v>
      </c>
      <c r="B447" s="86" t="s">
        <v>1529</v>
      </c>
      <c r="C447" s="204">
        <v>197.34</v>
      </c>
      <c r="D447" s="86" t="s">
        <v>275</v>
      </c>
      <c r="E447" s="86" t="s">
        <v>1185</v>
      </c>
      <c r="F447" s="86" t="s">
        <v>1186</v>
      </c>
      <c r="G447" s="204">
        <v>16184</v>
      </c>
      <c r="H447" s="204">
        <v>19268</v>
      </c>
      <c r="I447" s="204">
        <v>189048</v>
      </c>
      <c r="J447" s="210">
        <v>52</v>
      </c>
      <c r="K447" s="275">
        <v>-20.381306053930249</v>
      </c>
    </row>
    <row r="448" spans="1:12" x14ac:dyDescent="0.15">
      <c r="A448" s="86" t="s">
        <v>952</v>
      </c>
      <c r="B448" s="86" t="s">
        <v>1530</v>
      </c>
      <c r="C448" s="204">
        <v>246</v>
      </c>
      <c r="D448" s="86" t="s">
        <v>275</v>
      </c>
      <c r="E448" s="86" t="s">
        <v>1185</v>
      </c>
      <c r="F448" s="86" t="s">
        <v>385</v>
      </c>
      <c r="G448" s="204">
        <v>5847</v>
      </c>
      <c r="H448" s="204">
        <v>6240</v>
      </c>
      <c r="I448" s="204">
        <v>79487</v>
      </c>
      <c r="J448" s="210">
        <v>42</v>
      </c>
      <c r="K448" s="275">
        <v>-191.38678729686126</v>
      </c>
    </row>
    <row r="449" spans="1:11" x14ac:dyDescent="0.15">
      <c r="A449" s="86" t="s">
        <v>993</v>
      </c>
      <c r="B449" s="86" t="s">
        <v>1531</v>
      </c>
      <c r="C449" s="204">
        <v>244.86</v>
      </c>
      <c r="D449" s="86" t="s">
        <v>275</v>
      </c>
      <c r="E449" s="86" t="s">
        <v>1185</v>
      </c>
      <c r="F449" s="86" t="s">
        <v>1186</v>
      </c>
      <c r="G449" s="204">
        <v>7855</v>
      </c>
      <c r="H449" s="204">
        <v>7274</v>
      </c>
      <c r="I449" s="204">
        <v>93903</v>
      </c>
      <c r="J449" s="210">
        <v>36</v>
      </c>
      <c r="K449" s="275">
        <v>-18.686161726918193</v>
      </c>
    </row>
    <row r="450" spans="1:11" x14ac:dyDescent="0.15">
      <c r="A450" s="86" t="s">
        <v>864</v>
      </c>
      <c r="B450" s="86" t="s">
        <v>1532</v>
      </c>
      <c r="C450" s="204">
        <v>32.75</v>
      </c>
      <c r="D450" s="86" t="s">
        <v>275</v>
      </c>
      <c r="E450" s="86" t="s">
        <v>1185</v>
      </c>
      <c r="F450" s="86" t="s">
        <v>385</v>
      </c>
      <c r="G450" s="204">
        <v>2100</v>
      </c>
      <c r="H450" s="204">
        <v>1796</v>
      </c>
      <c r="I450" s="204">
        <v>23290</v>
      </c>
      <c r="J450" s="210">
        <v>21</v>
      </c>
      <c r="K450" s="275">
        <v>-413.94889301283683</v>
      </c>
    </row>
    <row r="451" spans="1:11" x14ac:dyDescent="0.15">
      <c r="A451" s="86" t="s">
        <v>1079</v>
      </c>
      <c r="B451" s="86" t="s">
        <v>1533</v>
      </c>
      <c r="C451" s="204">
        <v>16</v>
      </c>
      <c r="D451" s="86" t="s">
        <v>275</v>
      </c>
      <c r="E451" s="86" t="s">
        <v>1185</v>
      </c>
      <c r="F451" s="86" t="s">
        <v>385</v>
      </c>
      <c r="G451" s="204">
        <v>3354</v>
      </c>
      <c r="H451" s="204">
        <v>1848</v>
      </c>
      <c r="I451" s="204">
        <v>24145</v>
      </c>
      <c r="J451" s="210">
        <v>46</v>
      </c>
      <c r="K451" s="275">
        <v>-581.7864130540911</v>
      </c>
    </row>
    <row r="452" spans="1:11" x14ac:dyDescent="0.15">
      <c r="A452" s="86" t="s">
        <v>1132</v>
      </c>
      <c r="B452" s="86" t="s">
        <v>1534</v>
      </c>
      <c r="C452" s="204">
        <v>20</v>
      </c>
      <c r="D452" s="86" t="s">
        <v>11</v>
      </c>
      <c r="E452" s="86" t="s">
        <v>1185</v>
      </c>
      <c r="F452" s="86" t="s">
        <v>385</v>
      </c>
      <c r="G452" s="204">
        <v>405</v>
      </c>
      <c r="H452" s="204">
        <v>355</v>
      </c>
      <c r="I452" s="204">
        <v>13958</v>
      </c>
      <c r="J452" s="210">
        <v>6</v>
      </c>
      <c r="K452" s="275">
        <v>-69.70022879523647</v>
      </c>
    </row>
    <row r="453" spans="1:11" x14ac:dyDescent="0.15">
      <c r="A453" s="86" t="s">
        <v>1880</v>
      </c>
      <c r="B453" s="86" t="s">
        <v>1243</v>
      </c>
      <c r="C453" s="204">
        <v>30</v>
      </c>
      <c r="D453" s="86" t="s">
        <v>275</v>
      </c>
      <c r="E453" s="86" t="s">
        <v>1175</v>
      </c>
      <c r="F453" s="86" t="s">
        <v>384</v>
      </c>
      <c r="G453" s="204">
        <v>724</v>
      </c>
      <c r="H453" s="204">
        <v>1640</v>
      </c>
      <c r="I453" s="204">
        <v>6189</v>
      </c>
      <c r="J453" s="210">
        <v>12</v>
      </c>
      <c r="K453" s="275">
        <v>-83.206228444507119</v>
      </c>
    </row>
    <row r="454" spans="1:11" x14ac:dyDescent="0.15">
      <c r="A454" s="86" t="s">
        <v>778</v>
      </c>
      <c r="B454" s="86" t="s">
        <v>1535</v>
      </c>
      <c r="C454" s="204">
        <v>290</v>
      </c>
      <c r="D454" s="86" t="s">
        <v>261</v>
      </c>
      <c r="E454" s="86" t="s">
        <v>1185</v>
      </c>
      <c r="F454" s="86" t="s">
        <v>1186</v>
      </c>
      <c r="G454" s="204">
        <v>9892.9</v>
      </c>
      <c r="H454" s="204">
        <v>15524.5</v>
      </c>
      <c r="I454" s="204">
        <v>146270</v>
      </c>
      <c r="J454" s="210">
        <v>61</v>
      </c>
      <c r="K454" s="275">
        <v>-147.31364737671959</v>
      </c>
    </row>
    <row r="455" spans="1:11" x14ac:dyDescent="0.15">
      <c r="A455" s="86" t="s">
        <v>1115</v>
      </c>
      <c r="B455" s="86" t="s">
        <v>1536</v>
      </c>
      <c r="C455" s="204">
        <v>280</v>
      </c>
      <c r="D455" s="86" t="s">
        <v>261</v>
      </c>
      <c r="E455" s="86" t="s">
        <v>1185</v>
      </c>
      <c r="F455" s="86" t="s">
        <v>385</v>
      </c>
      <c r="G455" s="204">
        <v>12846</v>
      </c>
      <c r="H455" s="204">
        <v>12698</v>
      </c>
      <c r="I455" s="204">
        <v>151696</v>
      </c>
      <c r="J455" s="210">
        <v>69</v>
      </c>
      <c r="K455" s="275">
        <v>-254.51900798474617</v>
      </c>
    </row>
    <row r="456" spans="1:11" x14ac:dyDescent="0.15">
      <c r="A456" s="86" t="s">
        <v>221</v>
      </c>
      <c r="B456" s="86" t="s">
        <v>1537</v>
      </c>
      <c r="C456" s="204">
        <v>283.75</v>
      </c>
      <c r="D456" s="86" t="s">
        <v>261</v>
      </c>
      <c r="E456" s="86" t="s">
        <v>1185</v>
      </c>
      <c r="F456" s="86" t="s">
        <v>1186</v>
      </c>
      <c r="G456" s="204">
        <v>15996</v>
      </c>
      <c r="H456" s="204">
        <v>19234</v>
      </c>
      <c r="I456" s="204">
        <v>204581</v>
      </c>
      <c r="J456" s="210">
        <v>37</v>
      </c>
      <c r="K456" s="275">
        <v>-191.36716578106902</v>
      </c>
    </row>
    <row r="457" spans="1:11" x14ac:dyDescent="0.15">
      <c r="A457" s="86" t="s">
        <v>222</v>
      </c>
      <c r="B457" s="86" t="s">
        <v>1538</v>
      </c>
      <c r="C457" s="204">
        <v>258.79000000000002</v>
      </c>
      <c r="D457" s="86" t="s">
        <v>261</v>
      </c>
      <c r="E457" s="86" t="s">
        <v>1185</v>
      </c>
      <c r="F457" s="86" t="s">
        <v>385</v>
      </c>
      <c r="G457" s="204">
        <v>11712</v>
      </c>
      <c r="H457" s="204">
        <v>10645</v>
      </c>
      <c r="I457" s="204">
        <v>113393</v>
      </c>
      <c r="J457" s="210">
        <v>62</v>
      </c>
      <c r="K457" s="275">
        <v>-213.61417871354843</v>
      </c>
    </row>
    <row r="458" spans="1:11" x14ac:dyDescent="0.15">
      <c r="A458" s="86" t="s">
        <v>1104</v>
      </c>
      <c r="B458" s="86" t="s">
        <v>1539</v>
      </c>
      <c r="C458" s="204">
        <v>232</v>
      </c>
      <c r="D458" s="86" t="s">
        <v>261</v>
      </c>
      <c r="E458" s="86" t="s">
        <v>1185</v>
      </c>
      <c r="F458" s="86" t="s">
        <v>1186</v>
      </c>
      <c r="G458" s="204">
        <v>17112</v>
      </c>
      <c r="H458" s="204">
        <v>15538</v>
      </c>
      <c r="I458" s="204">
        <v>171629</v>
      </c>
      <c r="J458" s="210">
        <v>108</v>
      </c>
      <c r="K458" s="275">
        <v>-203.20995843554402</v>
      </c>
    </row>
    <row r="459" spans="1:11" x14ac:dyDescent="0.15">
      <c r="A459" s="86" t="s">
        <v>1591</v>
      </c>
      <c r="B459" s="86" t="s">
        <v>1514</v>
      </c>
      <c r="C459" s="204">
        <v>303.31</v>
      </c>
      <c r="D459" s="86" t="s">
        <v>261</v>
      </c>
      <c r="E459" s="86" t="s">
        <v>1185</v>
      </c>
      <c r="F459" s="86" t="s">
        <v>1186</v>
      </c>
      <c r="G459" s="204">
        <v>14969</v>
      </c>
      <c r="H459" s="204">
        <v>11534</v>
      </c>
      <c r="I459" s="204">
        <v>133414</v>
      </c>
      <c r="J459" s="210">
        <v>22</v>
      </c>
      <c r="K459" s="275">
        <v>-341.12388951005829</v>
      </c>
    </row>
    <row r="460" spans="1:11" x14ac:dyDescent="0.15">
      <c r="A460" s="86" t="s">
        <v>1739</v>
      </c>
      <c r="B460" s="86" t="s">
        <v>1740</v>
      </c>
      <c r="C460" s="204">
        <v>218</v>
      </c>
      <c r="D460" s="86" t="s">
        <v>261</v>
      </c>
      <c r="E460" s="86" t="s">
        <v>1185</v>
      </c>
      <c r="F460" s="86" t="s">
        <v>1186</v>
      </c>
      <c r="G460" s="204">
        <v>14653</v>
      </c>
      <c r="H460" s="204">
        <v>15382</v>
      </c>
      <c r="I460" s="204">
        <v>169160</v>
      </c>
      <c r="J460" s="210">
        <v>47</v>
      </c>
      <c r="K460" s="275">
        <v>-388.97065849838236</v>
      </c>
    </row>
    <row r="461" spans="1:11" x14ac:dyDescent="0.15">
      <c r="A461" s="86" t="s">
        <v>223</v>
      </c>
      <c r="B461" s="86" t="s">
        <v>1540</v>
      </c>
      <c r="C461" s="204">
        <v>408.26</v>
      </c>
      <c r="D461" s="86" t="s">
        <v>261</v>
      </c>
      <c r="E461" s="86" t="s">
        <v>1185</v>
      </c>
      <c r="F461" s="86" t="s">
        <v>1186</v>
      </c>
      <c r="G461" s="204">
        <v>14944</v>
      </c>
      <c r="H461" s="204">
        <v>15384</v>
      </c>
      <c r="I461" s="204">
        <v>147935</v>
      </c>
      <c r="J461" s="210">
        <v>48</v>
      </c>
      <c r="K461" s="275">
        <v>-653.3838759858794</v>
      </c>
    </row>
    <row r="462" spans="1:11" x14ac:dyDescent="0.15">
      <c r="A462" s="86" t="s">
        <v>344</v>
      </c>
      <c r="B462" s="86" t="s">
        <v>1541</v>
      </c>
      <c r="C462" s="204">
        <v>420.48</v>
      </c>
      <c r="D462" s="86" t="s">
        <v>261</v>
      </c>
      <c r="E462" s="86" t="s">
        <v>1185</v>
      </c>
      <c r="F462" s="86" t="s">
        <v>1186</v>
      </c>
      <c r="G462" s="204">
        <v>27457</v>
      </c>
      <c r="H462" s="204">
        <v>31894</v>
      </c>
      <c r="I462" s="204">
        <v>257440</v>
      </c>
      <c r="J462" s="210">
        <v>146</v>
      </c>
      <c r="K462" s="275">
        <v>-46.348870756650065</v>
      </c>
    </row>
    <row r="463" spans="1:11" x14ac:dyDescent="0.15">
      <c r="A463" s="86" t="s">
        <v>945</v>
      </c>
      <c r="B463" s="86" t="s">
        <v>1542</v>
      </c>
      <c r="C463" s="204">
        <v>583.22</v>
      </c>
      <c r="D463" s="86" t="s">
        <v>261</v>
      </c>
      <c r="E463" s="86" t="s">
        <v>1185</v>
      </c>
      <c r="F463" s="86" t="s">
        <v>1186</v>
      </c>
      <c r="G463" s="204">
        <v>16000</v>
      </c>
      <c r="H463" s="204">
        <v>13209</v>
      </c>
      <c r="I463" s="204">
        <v>136546</v>
      </c>
      <c r="J463" s="210">
        <v>28</v>
      </c>
      <c r="K463" s="275">
        <v>-2002.2232689167115</v>
      </c>
    </row>
    <row r="464" spans="1:11" x14ac:dyDescent="0.15">
      <c r="A464" s="86" t="s">
        <v>225</v>
      </c>
      <c r="B464" s="86" t="s">
        <v>1543</v>
      </c>
      <c r="C464" s="204">
        <v>787.98</v>
      </c>
      <c r="D464" s="86" t="s">
        <v>261</v>
      </c>
      <c r="E464" s="86" t="s">
        <v>1185</v>
      </c>
      <c r="F464" s="86" t="s">
        <v>1186</v>
      </c>
      <c r="G464" s="204">
        <v>19680</v>
      </c>
      <c r="H464" s="204">
        <v>21483</v>
      </c>
      <c r="I464" s="204">
        <v>212718</v>
      </c>
      <c r="J464" s="210">
        <v>123</v>
      </c>
      <c r="K464" s="275">
        <v>-437.45693840463116</v>
      </c>
    </row>
    <row r="465" spans="1:11" x14ac:dyDescent="0.15">
      <c r="A465" s="86" t="s">
        <v>730</v>
      </c>
      <c r="B465" s="86" t="s">
        <v>1544</v>
      </c>
      <c r="C465" s="204">
        <v>98.52</v>
      </c>
      <c r="D465" s="86" t="s">
        <v>261</v>
      </c>
      <c r="E465" s="86" t="s">
        <v>1185</v>
      </c>
      <c r="F465" s="86" t="s">
        <v>385</v>
      </c>
      <c r="G465" s="204">
        <v>5038</v>
      </c>
      <c r="H465" s="204">
        <v>4744</v>
      </c>
      <c r="I465" s="204">
        <v>56940</v>
      </c>
      <c r="J465" s="210">
        <v>19</v>
      </c>
      <c r="K465" s="275">
        <v>-100.02043853332742</v>
      </c>
    </row>
    <row r="466" spans="1:11" x14ac:dyDescent="0.15">
      <c r="A466" s="86" t="s">
        <v>226</v>
      </c>
      <c r="B466" s="86" t="s">
        <v>1545</v>
      </c>
      <c r="C466" s="204">
        <v>584.27</v>
      </c>
      <c r="D466" s="86" t="s">
        <v>261</v>
      </c>
      <c r="E466" s="86" t="s">
        <v>1185</v>
      </c>
      <c r="F466" s="86" t="s">
        <v>1186</v>
      </c>
      <c r="G466" s="204">
        <v>38722.339999999997</v>
      </c>
      <c r="H466" s="204">
        <v>29921.8</v>
      </c>
      <c r="I466" s="204">
        <v>330851.43</v>
      </c>
      <c r="J466" s="210">
        <v>116</v>
      </c>
      <c r="K466" s="275">
        <v>-297.67020307721054</v>
      </c>
    </row>
    <row r="467" spans="1:11" x14ac:dyDescent="0.15">
      <c r="A467" s="86" t="s">
        <v>681</v>
      </c>
      <c r="B467" s="86" t="s">
        <v>1546</v>
      </c>
      <c r="C467" s="204">
        <v>134.41999999999999</v>
      </c>
      <c r="D467" s="86" t="s">
        <v>261</v>
      </c>
      <c r="E467" s="86" t="s">
        <v>1185</v>
      </c>
      <c r="F467" s="86" t="s">
        <v>385</v>
      </c>
      <c r="G467" s="204">
        <v>3162</v>
      </c>
      <c r="H467" s="204">
        <v>4951</v>
      </c>
      <c r="I467" s="204">
        <v>41905</v>
      </c>
      <c r="J467" s="210">
        <v>66</v>
      </c>
      <c r="K467" s="275">
        <v>-309.79747982543904</v>
      </c>
    </row>
    <row r="468" spans="1:11" x14ac:dyDescent="0.15">
      <c r="A468" s="86" t="s">
        <v>821</v>
      </c>
      <c r="B468" s="86" t="s">
        <v>1547</v>
      </c>
      <c r="C468" s="204">
        <v>290</v>
      </c>
      <c r="D468" s="86" t="s">
        <v>261</v>
      </c>
      <c r="E468" s="86" t="s">
        <v>1185</v>
      </c>
      <c r="F468" s="86" t="s">
        <v>1186</v>
      </c>
      <c r="G468" s="204">
        <v>33825</v>
      </c>
      <c r="H468" s="204">
        <v>23943</v>
      </c>
      <c r="I468" s="204">
        <v>275524</v>
      </c>
      <c r="J468" s="210">
        <v>68</v>
      </c>
      <c r="K468" s="275">
        <v>-142.38791934244151</v>
      </c>
    </row>
    <row r="469" spans="1:11" x14ac:dyDescent="0.15">
      <c r="A469" s="86" t="s">
        <v>814</v>
      </c>
      <c r="B469" s="86" t="s">
        <v>1548</v>
      </c>
      <c r="C469" s="204">
        <v>349.3</v>
      </c>
      <c r="D469" s="86" t="s">
        <v>261</v>
      </c>
      <c r="E469" s="86" t="s">
        <v>1185</v>
      </c>
      <c r="F469" s="86" t="s">
        <v>1186</v>
      </c>
      <c r="G469" s="204">
        <v>10787</v>
      </c>
      <c r="H469" s="204">
        <v>11537.8</v>
      </c>
      <c r="I469" s="204">
        <v>138130.09999999998</v>
      </c>
      <c r="J469" s="210">
        <v>46</v>
      </c>
      <c r="K469" s="275">
        <v>-1442.4507422011138</v>
      </c>
    </row>
    <row r="470" spans="1:11" x14ac:dyDescent="0.15">
      <c r="A470" s="86" t="s">
        <v>689</v>
      </c>
      <c r="B470" s="86" t="s">
        <v>1549</v>
      </c>
      <c r="C470" s="204">
        <v>552</v>
      </c>
      <c r="D470" s="86" t="s">
        <v>261</v>
      </c>
      <c r="E470" s="86" t="s">
        <v>1185</v>
      </c>
      <c r="F470" s="86" t="s">
        <v>1186</v>
      </c>
      <c r="G470" s="204">
        <v>28662</v>
      </c>
      <c r="H470" s="204">
        <v>26211</v>
      </c>
      <c r="I470" s="204">
        <v>245786</v>
      </c>
      <c r="J470" s="210">
        <v>110</v>
      </c>
      <c r="K470" s="275">
        <v>-59.436094558425602</v>
      </c>
    </row>
    <row r="471" spans="1:11" x14ac:dyDescent="0.15">
      <c r="A471" s="86" t="s">
        <v>1134</v>
      </c>
      <c r="B471" s="86" t="s">
        <v>1550</v>
      </c>
      <c r="C471" s="204">
        <v>10</v>
      </c>
      <c r="D471" s="86" t="s">
        <v>261</v>
      </c>
      <c r="E471" s="86" t="s">
        <v>1226</v>
      </c>
      <c r="F471" s="86" t="s">
        <v>384</v>
      </c>
      <c r="G471" s="204">
        <v>2256</v>
      </c>
      <c r="I471" s="204">
        <v>5784</v>
      </c>
      <c r="K471" s="275">
        <v>43.093303285855768</v>
      </c>
    </row>
    <row r="472" spans="1:11" x14ac:dyDescent="0.15">
      <c r="A472" s="86" t="s">
        <v>376</v>
      </c>
      <c r="B472" s="86" t="s">
        <v>1551</v>
      </c>
      <c r="C472" s="204">
        <v>102.19</v>
      </c>
      <c r="D472" s="86" t="s">
        <v>261</v>
      </c>
      <c r="E472" s="86" t="s">
        <v>1185</v>
      </c>
      <c r="F472" s="86" t="s">
        <v>385</v>
      </c>
      <c r="G472" s="204">
        <v>6620.7</v>
      </c>
      <c r="H472" s="204">
        <v>6549.1</v>
      </c>
      <c r="I472" s="204">
        <v>72744.600000000006</v>
      </c>
      <c r="J472" s="210">
        <v>222</v>
      </c>
      <c r="K472" s="275">
        <v>-389.44886952389533</v>
      </c>
    </row>
    <row r="473" spans="1:11" x14ac:dyDescent="0.15">
      <c r="A473" s="86" t="s">
        <v>322</v>
      </c>
      <c r="B473" s="86" t="s">
        <v>1552</v>
      </c>
      <c r="C473" s="204">
        <v>83</v>
      </c>
      <c r="D473" s="86" t="s">
        <v>262</v>
      </c>
      <c r="E473" s="86" t="s">
        <v>1185</v>
      </c>
      <c r="F473" s="86" t="s">
        <v>385</v>
      </c>
      <c r="G473" s="204">
        <v>7393.5</v>
      </c>
      <c r="H473" s="204">
        <v>7745</v>
      </c>
      <c r="I473" s="204">
        <v>58928</v>
      </c>
      <c r="J473" s="210">
        <v>126</v>
      </c>
      <c r="K473" s="275">
        <v>-142.23820769229664</v>
      </c>
    </row>
    <row r="474" spans="1:11" x14ac:dyDescent="0.15">
      <c r="A474" s="86" t="s">
        <v>227</v>
      </c>
      <c r="B474" s="86" t="s">
        <v>1553</v>
      </c>
      <c r="C474" s="204">
        <v>284.66000000000003</v>
      </c>
      <c r="D474" s="86" t="s">
        <v>262</v>
      </c>
      <c r="E474" s="86" t="s">
        <v>1185</v>
      </c>
      <c r="F474" s="86" t="s">
        <v>385</v>
      </c>
      <c r="G474" s="204">
        <v>12051.24</v>
      </c>
      <c r="H474" s="204">
        <v>16524.97</v>
      </c>
      <c r="I474" s="204">
        <v>154349.71</v>
      </c>
      <c r="J474" s="210">
        <v>478</v>
      </c>
      <c r="K474" s="275">
        <v>-165.26828223933677</v>
      </c>
    </row>
    <row r="475" spans="1:11" x14ac:dyDescent="0.15">
      <c r="A475" s="86" t="s">
        <v>1147</v>
      </c>
      <c r="B475" s="86" t="s">
        <v>1554</v>
      </c>
      <c r="C475" s="204">
        <v>95</v>
      </c>
      <c r="D475" s="86" t="s">
        <v>262</v>
      </c>
      <c r="E475" s="86" t="s">
        <v>1185</v>
      </c>
      <c r="F475" s="86" t="s">
        <v>385</v>
      </c>
      <c r="G475" s="204">
        <v>3946</v>
      </c>
      <c r="H475" s="204">
        <v>4130</v>
      </c>
      <c r="I475" s="204">
        <v>40328</v>
      </c>
      <c r="J475" s="210">
        <v>12</v>
      </c>
      <c r="K475" s="275">
        <v>-71.22108474105768</v>
      </c>
    </row>
    <row r="476" spans="1:11" x14ac:dyDescent="0.15">
      <c r="A476" s="86" t="s">
        <v>228</v>
      </c>
      <c r="B476" s="86" t="s">
        <v>1555</v>
      </c>
      <c r="C476" s="204">
        <v>140</v>
      </c>
      <c r="D476" s="86" t="s">
        <v>262</v>
      </c>
      <c r="E476" s="86" t="s">
        <v>1185</v>
      </c>
      <c r="F476" s="86" t="s">
        <v>385</v>
      </c>
      <c r="G476" s="204">
        <v>12048.8</v>
      </c>
      <c r="H476" s="204">
        <v>11418</v>
      </c>
      <c r="I476" s="204">
        <v>95676.200000000012</v>
      </c>
      <c r="J476" s="210">
        <v>257</v>
      </c>
      <c r="K476" s="275">
        <v>-344.10055803557736</v>
      </c>
    </row>
    <row r="477" spans="1:11" x14ac:dyDescent="0.15">
      <c r="A477" s="86" t="s">
        <v>229</v>
      </c>
      <c r="B477" s="86" t="s">
        <v>1556</v>
      </c>
      <c r="C477" s="204">
        <v>145.38999999999999</v>
      </c>
      <c r="D477" s="86" t="s">
        <v>262</v>
      </c>
      <c r="E477" s="86" t="s">
        <v>1185</v>
      </c>
      <c r="F477" s="86" t="s">
        <v>385</v>
      </c>
      <c r="G477" s="204">
        <v>9591.1</v>
      </c>
      <c r="H477" s="204">
        <v>8529.5</v>
      </c>
      <c r="I477" s="204">
        <v>82285.599999999991</v>
      </c>
      <c r="J477" s="210">
        <v>201</v>
      </c>
      <c r="K477" s="275">
        <v>-2548.644436256548</v>
      </c>
    </row>
    <row r="478" spans="1:11" x14ac:dyDescent="0.15">
      <c r="A478" s="86" t="s">
        <v>230</v>
      </c>
      <c r="B478" s="86" t="s">
        <v>1557</v>
      </c>
      <c r="C478" s="204">
        <v>291.04000000000002</v>
      </c>
      <c r="D478" s="86" t="s">
        <v>262</v>
      </c>
      <c r="E478" s="86" t="s">
        <v>1185</v>
      </c>
      <c r="F478" s="86" t="s">
        <v>385</v>
      </c>
      <c r="G478" s="204">
        <v>15443</v>
      </c>
      <c r="H478" s="204">
        <v>15712</v>
      </c>
      <c r="I478" s="204">
        <v>169196</v>
      </c>
      <c r="J478" s="210">
        <v>216</v>
      </c>
      <c r="K478" s="275">
        <v>-167.2335720463177</v>
      </c>
    </row>
    <row r="479" spans="1:11" x14ac:dyDescent="0.15">
      <c r="A479" s="86" t="s">
        <v>231</v>
      </c>
      <c r="B479" s="86" t="s">
        <v>1558</v>
      </c>
      <c r="C479" s="204">
        <v>128.26</v>
      </c>
      <c r="D479" s="86" t="s">
        <v>262</v>
      </c>
      <c r="E479" s="86" t="s">
        <v>1185</v>
      </c>
      <c r="F479" s="86" t="s">
        <v>385</v>
      </c>
      <c r="G479" s="204">
        <v>9611.2999999999993</v>
      </c>
      <c r="H479" s="204">
        <v>10879.7</v>
      </c>
      <c r="I479" s="204">
        <v>108383.99999999999</v>
      </c>
      <c r="J479" s="210">
        <v>192</v>
      </c>
      <c r="K479" s="275">
        <v>-68.849375617502801</v>
      </c>
    </row>
    <row r="480" spans="1:11" x14ac:dyDescent="0.15">
      <c r="A480" s="86" t="s">
        <v>232</v>
      </c>
      <c r="B480" s="86" t="s">
        <v>1559</v>
      </c>
      <c r="C480" s="204">
        <v>350</v>
      </c>
      <c r="D480" s="86" t="s">
        <v>262</v>
      </c>
      <c r="E480" s="86" t="s">
        <v>1185</v>
      </c>
      <c r="F480" s="86" t="s">
        <v>385</v>
      </c>
      <c r="G480" s="204">
        <v>12158.24</v>
      </c>
      <c r="H480" s="204">
        <v>14023.59</v>
      </c>
      <c r="I480" s="204">
        <v>118338.4</v>
      </c>
      <c r="J480" s="210">
        <v>491</v>
      </c>
      <c r="K480" s="275">
        <v>-1091.2730359299949</v>
      </c>
    </row>
    <row r="481" spans="1:11" x14ac:dyDescent="0.15">
      <c r="A481" s="86" t="s">
        <v>611</v>
      </c>
      <c r="B481" s="86" t="s">
        <v>1560</v>
      </c>
      <c r="C481" s="204">
        <v>30</v>
      </c>
      <c r="D481" s="86" t="s">
        <v>262</v>
      </c>
      <c r="E481" s="86" t="s">
        <v>1185</v>
      </c>
      <c r="F481" s="86" t="s">
        <v>385</v>
      </c>
      <c r="G481" s="204">
        <v>1115</v>
      </c>
      <c r="H481" s="204">
        <v>1414</v>
      </c>
      <c r="I481" s="204">
        <v>16516</v>
      </c>
      <c r="J481" s="210">
        <v>53</v>
      </c>
      <c r="K481" s="275">
        <v>-1052.7527067781816</v>
      </c>
    </row>
    <row r="482" spans="1:11" x14ac:dyDescent="0.15">
      <c r="A482" s="86" t="s">
        <v>233</v>
      </c>
      <c r="B482" s="86" t="s">
        <v>1561</v>
      </c>
      <c r="C482" s="204">
        <v>45</v>
      </c>
      <c r="D482" s="86" t="s">
        <v>262</v>
      </c>
      <c r="E482" s="86" t="s">
        <v>1185</v>
      </c>
      <c r="F482" s="86" t="s">
        <v>385</v>
      </c>
      <c r="G482" s="204">
        <v>2657.5</v>
      </c>
      <c r="H482" s="204">
        <v>4363.6499999999996</v>
      </c>
      <c r="I482" s="204">
        <v>35941.800000000003</v>
      </c>
      <c r="J482" s="210">
        <v>112</v>
      </c>
      <c r="K482" s="275">
        <v>11.766255557910554</v>
      </c>
    </row>
    <row r="483" spans="1:11" x14ac:dyDescent="0.15">
      <c r="A483" s="86" t="s">
        <v>607</v>
      </c>
      <c r="B483" s="86" t="s">
        <v>1562</v>
      </c>
      <c r="C483" s="204">
        <v>15</v>
      </c>
      <c r="D483" s="86" t="s">
        <v>262</v>
      </c>
      <c r="E483" s="86" t="s">
        <v>1185</v>
      </c>
      <c r="F483" s="86" t="s">
        <v>385</v>
      </c>
      <c r="G483" s="204">
        <v>1489</v>
      </c>
      <c r="H483" s="204">
        <v>1888</v>
      </c>
      <c r="I483" s="204">
        <v>19464</v>
      </c>
      <c r="J483" s="210">
        <v>66</v>
      </c>
      <c r="K483" s="275">
        <v>-1460.8493109711831</v>
      </c>
    </row>
    <row r="484" spans="1:11" x14ac:dyDescent="0.15">
      <c r="A484" s="86" t="s">
        <v>720</v>
      </c>
      <c r="B484" s="86" t="s">
        <v>1563</v>
      </c>
      <c r="C484" s="204">
        <v>193.14</v>
      </c>
      <c r="D484" s="86" t="s">
        <v>262</v>
      </c>
      <c r="E484" s="86" t="s">
        <v>1185</v>
      </c>
      <c r="F484" s="86" t="s">
        <v>385</v>
      </c>
      <c r="G484" s="204">
        <v>11909.5</v>
      </c>
      <c r="H484" s="204">
        <v>12647.4</v>
      </c>
      <c r="I484" s="204">
        <v>115758.09999999999</v>
      </c>
      <c r="J484" s="210">
        <v>244</v>
      </c>
      <c r="K484" s="275">
        <v>-66.869658826347617</v>
      </c>
    </row>
    <row r="485" spans="1:11" x14ac:dyDescent="0.15">
      <c r="A485" s="86" t="s">
        <v>724</v>
      </c>
      <c r="B485" s="86" t="s">
        <v>1564</v>
      </c>
      <c r="C485" s="204">
        <v>171.69</v>
      </c>
      <c r="D485" s="86" t="s">
        <v>262</v>
      </c>
      <c r="E485" s="86" t="s">
        <v>1185</v>
      </c>
      <c r="F485" s="86" t="s">
        <v>385</v>
      </c>
      <c r="G485" s="204">
        <v>14983</v>
      </c>
      <c r="H485" s="204">
        <v>13068</v>
      </c>
      <c r="I485" s="204">
        <v>129905</v>
      </c>
      <c r="J485" s="210">
        <v>105</v>
      </c>
      <c r="K485" s="275">
        <v>-677.27082304077669</v>
      </c>
    </row>
    <row r="486" spans="1:11" x14ac:dyDescent="0.15">
      <c r="A486" s="86" t="s">
        <v>716</v>
      </c>
      <c r="B486" s="86" t="s">
        <v>1565</v>
      </c>
      <c r="C486" s="204">
        <v>51.06</v>
      </c>
      <c r="D486" s="86" t="s">
        <v>262</v>
      </c>
      <c r="E486" s="86" t="s">
        <v>1185</v>
      </c>
      <c r="F486" s="86" t="s">
        <v>385</v>
      </c>
      <c r="G486" s="204">
        <v>1761</v>
      </c>
      <c r="H486" s="204">
        <v>1804</v>
      </c>
      <c r="I486" s="204">
        <v>20981</v>
      </c>
      <c r="J486" s="210">
        <v>58</v>
      </c>
      <c r="K486" s="275">
        <v>-193.20527030682345</v>
      </c>
    </row>
    <row r="487" spans="1:11" x14ac:dyDescent="0.15">
      <c r="A487" s="86" t="s">
        <v>1107</v>
      </c>
      <c r="B487" s="86" t="s">
        <v>1566</v>
      </c>
      <c r="C487" s="204">
        <v>100</v>
      </c>
      <c r="D487" s="86" t="s">
        <v>262</v>
      </c>
      <c r="E487" s="86" t="s">
        <v>1185</v>
      </c>
      <c r="F487" s="86" t="s">
        <v>385</v>
      </c>
      <c r="G487" s="204">
        <v>1618</v>
      </c>
      <c r="H487" s="204">
        <v>1978</v>
      </c>
      <c r="I487" s="204">
        <v>19993</v>
      </c>
      <c r="J487" s="210">
        <v>24</v>
      </c>
      <c r="K487" s="275">
        <v>-1704.067163523938</v>
      </c>
    </row>
    <row r="488" spans="1:11" x14ac:dyDescent="0.15">
      <c r="A488" s="86" t="s">
        <v>1602</v>
      </c>
      <c r="B488" s="86" t="s">
        <v>1603</v>
      </c>
      <c r="C488" s="204">
        <v>10</v>
      </c>
      <c r="D488" s="86" t="s">
        <v>262</v>
      </c>
      <c r="E488" s="86" t="s">
        <v>1185</v>
      </c>
      <c r="F488" s="86" t="s">
        <v>385</v>
      </c>
      <c r="G488" s="204">
        <v>1204</v>
      </c>
      <c r="H488" s="204">
        <v>1259</v>
      </c>
      <c r="I488" s="204">
        <v>11836</v>
      </c>
      <c r="J488" s="210">
        <v>22</v>
      </c>
      <c r="K488" s="275">
        <v>-950.72117203582832</v>
      </c>
    </row>
    <row r="489" spans="1:11" x14ac:dyDescent="0.15">
      <c r="A489" s="86" t="s">
        <v>555</v>
      </c>
      <c r="B489" s="86" t="s">
        <v>1567</v>
      </c>
      <c r="C489" s="204">
        <v>15</v>
      </c>
      <c r="D489" s="86" t="s">
        <v>262</v>
      </c>
      <c r="E489" s="86" t="s">
        <v>1185</v>
      </c>
      <c r="F489" s="86" t="s">
        <v>385</v>
      </c>
      <c r="G489" s="204">
        <v>2278</v>
      </c>
      <c r="H489" s="204">
        <v>3408</v>
      </c>
      <c r="I489" s="204">
        <v>32378</v>
      </c>
      <c r="J489" s="210">
        <v>146</v>
      </c>
      <c r="K489" s="275">
        <v>-252.83369463052702</v>
      </c>
    </row>
    <row r="490" spans="1:11" x14ac:dyDescent="0.15">
      <c r="A490" s="86" t="s">
        <v>873</v>
      </c>
      <c r="B490" s="86" t="s">
        <v>1568</v>
      </c>
      <c r="C490" s="204">
        <v>33</v>
      </c>
      <c r="D490" s="86" t="s">
        <v>262</v>
      </c>
      <c r="E490" s="86" t="s">
        <v>1185</v>
      </c>
      <c r="F490" s="86" t="s">
        <v>385</v>
      </c>
      <c r="G490" s="204">
        <v>1326</v>
      </c>
      <c r="H490" s="204">
        <v>2382.6</v>
      </c>
      <c r="I490" s="204">
        <v>19473.099999999999</v>
      </c>
      <c r="J490" s="210">
        <v>57</v>
      </c>
      <c r="K490" s="275">
        <v>-36.2857389387379</v>
      </c>
    </row>
    <row r="491" spans="1:11" x14ac:dyDescent="0.15">
      <c r="A491" s="86" t="s">
        <v>936</v>
      </c>
      <c r="B491" s="86" t="s">
        <v>1569</v>
      </c>
      <c r="C491" s="204">
        <v>20</v>
      </c>
      <c r="D491" s="86" t="s">
        <v>262</v>
      </c>
      <c r="E491" s="86" t="s">
        <v>1185</v>
      </c>
      <c r="F491" s="86" t="s">
        <v>385</v>
      </c>
      <c r="G491" s="204">
        <v>826</v>
      </c>
      <c r="H491" s="204">
        <v>852</v>
      </c>
      <c r="I491" s="204">
        <v>8660</v>
      </c>
      <c r="J491" s="210">
        <v>35</v>
      </c>
      <c r="K491" s="275">
        <v>-191.91575102288465</v>
      </c>
    </row>
    <row r="492" spans="1:11" x14ac:dyDescent="0.15">
      <c r="A492" s="86" t="s">
        <v>929</v>
      </c>
      <c r="B492" s="86" t="s">
        <v>1570</v>
      </c>
      <c r="C492" s="283">
        <v>23.23</v>
      </c>
      <c r="D492" s="86" t="s">
        <v>262</v>
      </c>
      <c r="E492" s="86" t="s">
        <v>1185</v>
      </c>
      <c r="F492" s="86" t="s">
        <v>385</v>
      </c>
      <c r="G492" s="204">
        <v>1724</v>
      </c>
      <c r="H492" s="204">
        <v>1660</v>
      </c>
      <c r="I492" s="204">
        <v>17027.099999999999</v>
      </c>
      <c r="J492" s="210">
        <v>41</v>
      </c>
      <c r="K492" s="275">
        <v>-138.28640418649121</v>
      </c>
    </row>
    <row r="493" spans="1:11" x14ac:dyDescent="0.15">
      <c r="A493" s="86" t="s">
        <v>503</v>
      </c>
      <c r="B493" s="86" t="s">
        <v>1571</v>
      </c>
      <c r="C493" s="204">
        <v>67.22</v>
      </c>
      <c r="D493" s="86" t="s">
        <v>262</v>
      </c>
      <c r="E493" s="86" t="s">
        <v>1185</v>
      </c>
      <c r="F493" s="86" t="s">
        <v>385</v>
      </c>
      <c r="G493" s="204">
        <v>1629</v>
      </c>
      <c r="H493" s="204">
        <v>2492</v>
      </c>
      <c r="I493" s="204">
        <v>28524</v>
      </c>
      <c r="J493" s="210">
        <v>83</v>
      </c>
      <c r="K493" s="275">
        <v>-610.55282638081349</v>
      </c>
    </row>
    <row r="494" spans="1:11" x14ac:dyDescent="0.15">
      <c r="A494" s="86" t="s">
        <v>703</v>
      </c>
      <c r="B494" s="199" t="s">
        <v>1572</v>
      </c>
      <c r="C494" s="204">
        <v>34</v>
      </c>
      <c r="D494" s="86" t="s">
        <v>262</v>
      </c>
      <c r="E494" s="86" t="s">
        <v>1185</v>
      </c>
      <c r="F494" s="86" t="s">
        <v>385</v>
      </c>
      <c r="G494" s="204">
        <v>2230.4</v>
      </c>
      <c r="H494" s="204">
        <v>2171.25</v>
      </c>
      <c r="I494" s="204">
        <v>31023.5</v>
      </c>
      <c r="J494" s="210">
        <v>92</v>
      </c>
      <c r="K494" s="275">
        <v>-71.343239976607762</v>
      </c>
    </row>
    <row r="495" spans="1:11" x14ac:dyDescent="0.15">
      <c r="A495" s="86" t="s">
        <v>235</v>
      </c>
      <c r="B495" s="199" t="s">
        <v>1573</v>
      </c>
      <c r="C495" s="204">
        <v>236</v>
      </c>
      <c r="D495" s="86" t="s">
        <v>262</v>
      </c>
      <c r="E495" s="86" t="s">
        <v>1185</v>
      </c>
      <c r="F495" s="86" t="s">
        <v>385</v>
      </c>
      <c r="G495" s="204">
        <v>18616.7</v>
      </c>
      <c r="H495" s="204">
        <v>22389.82</v>
      </c>
      <c r="I495" s="204">
        <v>167706.56</v>
      </c>
      <c r="J495" s="210">
        <v>603</v>
      </c>
      <c r="K495" s="275">
        <v>-194.81251262109174</v>
      </c>
    </row>
    <row r="496" spans="1:11" x14ac:dyDescent="0.15">
      <c r="A496" s="86" t="s">
        <v>1095</v>
      </c>
      <c r="B496" s="86" t="s">
        <v>1574</v>
      </c>
      <c r="C496" s="204">
        <v>258.42</v>
      </c>
      <c r="D496" s="86" t="s">
        <v>262</v>
      </c>
      <c r="E496" s="86" t="s">
        <v>1185</v>
      </c>
      <c r="F496" s="86" t="s">
        <v>385</v>
      </c>
      <c r="G496" s="204">
        <v>33226</v>
      </c>
      <c r="H496" s="204">
        <v>30729.5</v>
      </c>
      <c r="I496" s="204">
        <v>242494.90000000002</v>
      </c>
      <c r="J496" s="210">
        <v>446</v>
      </c>
      <c r="K496" s="275">
        <v>-583.73971295808076</v>
      </c>
    </row>
    <row r="497" spans="1:11" x14ac:dyDescent="0.15">
      <c r="A497" s="86" t="s">
        <v>1708</v>
      </c>
      <c r="B497" s="86" t="s">
        <v>1709</v>
      </c>
      <c r="C497" s="204">
        <v>26</v>
      </c>
      <c r="D497" s="86" t="s">
        <v>262</v>
      </c>
      <c r="E497" s="86" t="s">
        <v>1185</v>
      </c>
      <c r="F497" s="86" t="s">
        <v>385</v>
      </c>
      <c r="G497" s="204">
        <v>2343</v>
      </c>
      <c r="H497" s="204">
        <v>2802</v>
      </c>
      <c r="I497" s="204">
        <v>28289</v>
      </c>
      <c r="J497" s="210">
        <v>130</v>
      </c>
      <c r="K497" s="275">
        <v>-634.45654888134288</v>
      </c>
    </row>
    <row r="498" spans="1:11" x14ac:dyDescent="0.15">
      <c r="A498" s="86" t="s">
        <v>1756</v>
      </c>
      <c r="B498" s="86" t="s">
        <v>1761</v>
      </c>
      <c r="C498" s="204">
        <v>30</v>
      </c>
      <c r="D498" s="86" t="s">
        <v>1762</v>
      </c>
      <c r="E498" s="86" t="s">
        <v>1185</v>
      </c>
      <c r="F498" s="86" t="s">
        <v>385</v>
      </c>
      <c r="G498" s="204">
        <v>1653</v>
      </c>
      <c r="H498" s="204">
        <v>1713</v>
      </c>
      <c r="I498" s="204">
        <v>14575</v>
      </c>
      <c r="J498" s="210">
        <v>56</v>
      </c>
      <c r="K498" s="275">
        <v>-336.81106470647012</v>
      </c>
    </row>
    <row r="499" spans="1:11" x14ac:dyDescent="0.15">
      <c r="A499" s="86" t="s">
        <v>303</v>
      </c>
      <c r="B499" s="86" t="s">
        <v>1575</v>
      </c>
      <c r="C499" s="204">
        <v>84.16</v>
      </c>
      <c r="D499" s="86" t="s">
        <v>262</v>
      </c>
      <c r="E499" s="86" t="s">
        <v>1185</v>
      </c>
      <c r="F499" s="86" t="s">
        <v>385</v>
      </c>
      <c r="G499" s="204">
        <v>2501</v>
      </c>
      <c r="H499" s="204">
        <v>379</v>
      </c>
      <c r="I499" s="204">
        <v>31372</v>
      </c>
      <c r="J499" s="210">
        <v>3</v>
      </c>
      <c r="K499" s="275">
        <v>5.2735872958653012</v>
      </c>
    </row>
    <row r="500" spans="1:11" x14ac:dyDescent="0.15">
      <c r="A500" s="86" t="s">
        <v>373</v>
      </c>
      <c r="B500" s="86" t="s">
        <v>1576</v>
      </c>
      <c r="C500" s="204">
        <v>70</v>
      </c>
      <c r="D500" s="86" t="s">
        <v>262</v>
      </c>
      <c r="E500" s="86" t="s">
        <v>1185</v>
      </c>
      <c r="F500" s="86" t="s">
        <v>385</v>
      </c>
      <c r="G500" s="204">
        <v>3321</v>
      </c>
      <c r="H500" s="204">
        <v>3567</v>
      </c>
      <c r="I500" s="204">
        <v>48961</v>
      </c>
      <c r="J500" s="210">
        <v>56</v>
      </c>
      <c r="K500" s="275">
        <v>-72.409248737438702</v>
      </c>
    </row>
    <row r="501" spans="1:11" x14ac:dyDescent="0.15">
      <c r="A501" s="86" t="s">
        <v>369</v>
      </c>
      <c r="B501" s="86" t="s">
        <v>1214</v>
      </c>
      <c r="C501" s="204">
        <v>44</v>
      </c>
      <c r="D501" s="86" t="s">
        <v>262</v>
      </c>
      <c r="E501" s="86" t="s">
        <v>1185</v>
      </c>
      <c r="F501" s="86" t="s">
        <v>385</v>
      </c>
      <c r="G501" s="204">
        <v>379</v>
      </c>
      <c r="H501" s="204">
        <v>7127.2</v>
      </c>
      <c r="I501" s="204">
        <v>13716.2</v>
      </c>
      <c r="J501" s="210">
        <v>238</v>
      </c>
      <c r="K501" s="275">
        <v>64.373802024155864</v>
      </c>
    </row>
    <row r="502" spans="1:11" x14ac:dyDescent="0.15">
      <c r="A502" s="86" t="s">
        <v>547</v>
      </c>
      <c r="B502" s="86" t="s">
        <v>1577</v>
      </c>
      <c r="C502" s="204">
        <v>26</v>
      </c>
      <c r="D502" s="86" t="s">
        <v>262</v>
      </c>
      <c r="E502" s="86" t="s">
        <v>1185</v>
      </c>
      <c r="F502" s="86" t="s">
        <v>385</v>
      </c>
      <c r="G502" s="204">
        <v>1247</v>
      </c>
      <c r="H502" s="204">
        <v>1613</v>
      </c>
      <c r="I502" s="204">
        <v>21609.1</v>
      </c>
      <c r="J502" s="210">
        <v>54</v>
      </c>
      <c r="K502" s="275">
        <v>-295.91884185622342</v>
      </c>
    </row>
    <row r="503" spans="1:11" x14ac:dyDescent="0.15">
      <c r="A503" s="86" t="s">
        <v>514</v>
      </c>
      <c r="B503" s="86" t="s">
        <v>1578</v>
      </c>
      <c r="C503" s="204">
        <v>6</v>
      </c>
      <c r="D503" s="86" t="s">
        <v>262</v>
      </c>
      <c r="E503" s="86" t="s">
        <v>1226</v>
      </c>
      <c r="F503" s="86" t="s">
        <v>385</v>
      </c>
      <c r="G503" s="204">
        <v>531</v>
      </c>
      <c r="H503" s="204">
        <v>950.5</v>
      </c>
      <c r="I503" s="204">
        <v>7325.5</v>
      </c>
      <c r="J503" s="210">
        <v>46</v>
      </c>
      <c r="K503" s="275">
        <v>-146.68662589237863</v>
      </c>
    </row>
    <row r="504" spans="1:11" x14ac:dyDescent="0.15">
      <c r="A504" s="86" t="s">
        <v>673</v>
      </c>
      <c r="B504" s="86" t="s">
        <v>1579</v>
      </c>
      <c r="C504" s="204">
        <v>8.3000000000000007</v>
      </c>
      <c r="D504" s="86" t="s">
        <v>262</v>
      </c>
      <c r="E504" s="86" t="s">
        <v>1226</v>
      </c>
      <c r="F504" s="86" t="s">
        <v>385</v>
      </c>
      <c r="G504" s="204">
        <v>1618.6</v>
      </c>
      <c r="H504" s="204">
        <v>1047.4000000000001</v>
      </c>
      <c r="I504" s="204">
        <v>9812.2000000000007</v>
      </c>
      <c r="J504" s="210">
        <v>14</v>
      </c>
      <c r="K504" s="275">
        <v>-239.32631508448887</v>
      </c>
    </row>
    <row r="505" spans="1:11" x14ac:dyDescent="0.15">
      <c r="A505" s="86" t="s">
        <v>846</v>
      </c>
      <c r="B505" s="86" t="s">
        <v>1155</v>
      </c>
      <c r="C505" s="204">
        <v>42</v>
      </c>
      <c r="D505" s="86" t="s">
        <v>262</v>
      </c>
      <c r="E505" s="86" t="s">
        <v>1185</v>
      </c>
      <c r="F505" s="86" t="s">
        <v>385</v>
      </c>
      <c r="G505" s="204">
        <v>1129</v>
      </c>
      <c r="H505" s="204">
        <v>1808.5</v>
      </c>
      <c r="I505" s="204">
        <v>15621</v>
      </c>
      <c r="J505" s="210">
        <v>48</v>
      </c>
      <c r="K505" s="275">
        <v>-302.76777678169242</v>
      </c>
    </row>
    <row r="506" spans="1:11" x14ac:dyDescent="0.15">
      <c r="A506" s="86" t="s">
        <v>1168</v>
      </c>
      <c r="B506" s="86" t="s">
        <v>1580</v>
      </c>
      <c r="C506" s="204">
        <v>40</v>
      </c>
      <c r="D506" s="86" t="s">
        <v>262</v>
      </c>
      <c r="E506" s="86" t="s">
        <v>1185</v>
      </c>
      <c r="F506" s="86" t="s">
        <v>385</v>
      </c>
      <c r="G506" s="204">
        <v>117</v>
      </c>
      <c r="H506" s="204">
        <v>810</v>
      </c>
      <c r="I506" s="204">
        <v>6185</v>
      </c>
      <c r="J506" s="210">
        <v>13</v>
      </c>
      <c r="K506" s="275">
        <v>6.9653980252985859</v>
      </c>
    </row>
    <row r="507" spans="1:11" x14ac:dyDescent="0.15">
      <c r="A507" s="86" t="s">
        <v>1601</v>
      </c>
      <c r="B507" s="86" t="s">
        <v>1604</v>
      </c>
      <c r="C507" s="204">
        <v>30.23</v>
      </c>
      <c r="D507" s="86" t="s">
        <v>262</v>
      </c>
      <c r="E507" s="86" t="s">
        <v>1175</v>
      </c>
      <c r="F507" s="86" t="s">
        <v>1204</v>
      </c>
      <c r="H507" s="204">
        <v>228</v>
      </c>
      <c r="I507" s="204">
        <v>5485</v>
      </c>
      <c r="J507" s="210">
        <v>1</v>
      </c>
      <c r="K507" s="275">
        <v>-85.0753286592346</v>
      </c>
    </row>
    <row r="508" spans="1:11" x14ac:dyDescent="0.15">
      <c r="A508" s="86" t="s">
        <v>1162</v>
      </c>
      <c r="B508" s="86" t="s">
        <v>1167</v>
      </c>
      <c r="C508" s="204">
        <v>6</v>
      </c>
      <c r="D508" s="86" t="s">
        <v>262</v>
      </c>
      <c r="E508" s="86" t="s">
        <v>1175</v>
      </c>
      <c r="F508" s="86" t="s">
        <v>384</v>
      </c>
      <c r="K508" s="275">
        <v>39.263776139038008</v>
      </c>
    </row>
    <row r="509" spans="1:11" x14ac:dyDescent="0.15">
      <c r="A509" s="86" t="s">
        <v>1649</v>
      </c>
      <c r="B509" s="86" t="s">
        <v>1651</v>
      </c>
      <c r="C509" s="204">
        <v>3</v>
      </c>
      <c r="D509" s="86" t="s">
        <v>262</v>
      </c>
      <c r="E509" s="86" t="s">
        <v>1189</v>
      </c>
      <c r="F509" s="86" t="s">
        <v>1189</v>
      </c>
      <c r="G509" s="204">
        <v>255</v>
      </c>
      <c r="H509" s="204">
        <v>1020</v>
      </c>
      <c r="I509" s="204">
        <v>6975</v>
      </c>
      <c r="J509" s="210">
        <v>24</v>
      </c>
      <c r="K509" s="275">
        <v>-185.80911673890438</v>
      </c>
    </row>
    <row r="510" spans="1:11" x14ac:dyDescent="0.15">
      <c r="A510" s="86" t="s">
        <v>1687</v>
      </c>
      <c r="B510" s="86" t="s">
        <v>1689</v>
      </c>
      <c r="C510" s="204">
        <v>6</v>
      </c>
      <c r="D510" s="86" t="s">
        <v>262</v>
      </c>
      <c r="E510" s="86" t="s">
        <v>1185</v>
      </c>
      <c r="F510" s="86" t="s">
        <v>385</v>
      </c>
      <c r="G510" s="204">
        <v>595</v>
      </c>
      <c r="H510" s="204">
        <v>750</v>
      </c>
      <c r="I510" s="204">
        <v>8129</v>
      </c>
      <c r="J510" s="210">
        <v>32</v>
      </c>
      <c r="K510" s="275">
        <v>-198.07906782181317</v>
      </c>
    </row>
    <row r="511" spans="1:11" x14ac:dyDescent="0.15">
      <c r="A511" s="86" t="s">
        <v>1731</v>
      </c>
      <c r="B511" s="86" t="s">
        <v>1732</v>
      </c>
      <c r="C511" s="204">
        <v>6</v>
      </c>
      <c r="D511" s="86" t="s">
        <v>262</v>
      </c>
      <c r="E511" s="86" t="s">
        <v>1185</v>
      </c>
      <c r="F511" s="86" t="s">
        <v>385</v>
      </c>
      <c r="G511" s="204">
        <v>213</v>
      </c>
      <c r="H511" s="204">
        <v>938</v>
      </c>
      <c r="I511" s="204">
        <v>4288</v>
      </c>
      <c r="J511" s="210">
        <v>6</v>
      </c>
      <c r="K511" s="275">
        <v>-3.8079311848115083</v>
      </c>
    </row>
    <row r="512" spans="1:11" x14ac:dyDescent="0.15">
      <c r="A512" s="86" t="s">
        <v>1629</v>
      </c>
      <c r="B512" s="86" t="s">
        <v>1630</v>
      </c>
      <c r="C512" s="204">
        <v>602.41</v>
      </c>
      <c r="D512" s="86" t="s">
        <v>263</v>
      </c>
      <c r="E512" s="86" t="s">
        <v>1185</v>
      </c>
      <c r="F512" s="86" t="s">
        <v>1186</v>
      </c>
      <c r="G512" s="204">
        <v>31533</v>
      </c>
      <c r="H512" s="204">
        <v>29115</v>
      </c>
      <c r="I512" s="204">
        <v>309035</v>
      </c>
      <c r="J512" s="210">
        <v>165</v>
      </c>
      <c r="K512" s="275">
        <v>-496.23199550959748</v>
      </c>
    </row>
    <row r="513" spans="1:11" x14ac:dyDescent="0.15">
      <c r="A513" s="86" t="s">
        <v>1142</v>
      </c>
      <c r="B513" s="86" t="s">
        <v>1581</v>
      </c>
      <c r="C513" s="204">
        <v>200</v>
      </c>
      <c r="D513" s="86" t="s">
        <v>263</v>
      </c>
      <c r="E513" s="86" t="s">
        <v>1185</v>
      </c>
      <c r="F513" s="86" t="s">
        <v>1186</v>
      </c>
      <c r="G513" s="204">
        <v>6558</v>
      </c>
      <c r="H513" s="204">
        <v>5849</v>
      </c>
      <c r="I513" s="204">
        <v>78625</v>
      </c>
      <c r="J513" s="210">
        <v>27</v>
      </c>
      <c r="K513" s="275">
        <v>-288.62249926062617</v>
      </c>
    </row>
    <row r="514" spans="1:11" x14ac:dyDescent="0.15">
      <c r="A514" s="86"/>
      <c r="B514" s="86"/>
      <c r="D514" s="86"/>
      <c r="E514" s="86"/>
      <c r="F514" s="86"/>
    </row>
    <row r="515" spans="1:11" x14ac:dyDescent="0.15">
      <c r="A515" s="86"/>
      <c r="B515" s="86"/>
      <c r="D515" s="86"/>
      <c r="E515" s="86"/>
      <c r="F515" s="86"/>
    </row>
    <row r="516" spans="1:11" x14ac:dyDescent="0.15">
      <c r="A516" s="86"/>
      <c r="B516" s="86"/>
      <c r="D516" s="86"/>
      <c r="E516" s="86"/>
      <c r="F516" s="86"/>
    </row>
    <row r="517" spans="1:11" x14ac:dyDescent="0.15">
      <c r="A517" s="86"/>
      <c r="B517" s="86"/>
      <c r="D517" s="86"/>
      <c r="E517" s="86"/>
      <c r="F517" s="86"/>
    </row>
    <row r="518" spans="1:11" x14ac:dyDescent="0.15">
      <c r="A518" s="86"/>
      <c r="B518" s="86"/>
      <c r="D518" s="86"/>
      <c r="E518" s="86"/>
      <c r="F518" s="86"/>
    </row>
    <row r="519" spans="1:11" x14ac:dyDescent="0.15">
      <c r="A519" s="86"/>
      <c r="B519" s="86"/>
      <c r="D519" s="86"/>
      <c r="E519" s="86"/>
      <c r="F519" s="86"/>
    </row>
    <row r="520" spans="1:11" x14ac:dyDescent="0.15">
      <c r="A520" s="86"/>
      <c r="B520" s="86"/>
      <c r="D520" s="86"/>
      <c r="E520" s="86"/>
      <c r="F520" s="86"/>
    </row>
    <row r="521" spans="1:11" x14ac:dyDescent="0.15">
      <c r="A521" s="86"/>
      <c r="B521" s="86"/>
      <c r="D521" s="86"/>
      <c r="E521" s="86"/>
      <c r="F521" s="86"/>
    </row>
    <row r="522" spans="1:11" x14ac:dyDescent="0.15">
      <c r="A522" s="86"/>
      <c r="B522" s="86"/>
      <c r="D522" s="86"/>
      <c r="E522" s="86"/>
      <c r="F522" s="86"/>
    </row>
    <row r="523" spans="1:11" x14ac:dyDescent="0.15">
      <c r="A523" s="86"/>
      <c r="B523" s="86"/>
      <c r="D523" s="86"/>
      <c r="E523" s="86"/>
      <c r="F523" s="86"/>
    </row>
    <row r="524" spans="1:11" x14ac:dyDescent="0.15">
      <c r="A524" s="86"/>
      <c r="B524" s="86"/>
      <c r="D524" s="86"/>
      <c r="E524" s="86"/>
      <c r="F524" s="86"/>
    </row>
    <row r="525" spans="1:11" x14ac:dyDescent="0.15">
      <c r="A525" s="86"/>
      <c r="B525" s="86"/>
      <c r="D525" s="86"/>
      <c r="E525" s="86"/>
      <c r="F525" s="86"/>
    </row>
    <row r="526" spans="1:11" x14ac:dyDescent="0.15">
      <c r="A526" s="86"/>
      <c r="B526" s="86"/>
      <c r="D526" s="86"/>
      <c r="E526" s="86"/>
      <c r="F526" s="86"/>
    </row>
    <row r="527" spans="1:11" x14ac:dyDescent="0.15">
      <c r="A527" s="86"/>
      <c r="B527" s="86"/>
      <c r="D527" s="86"/>
      <c r="E527" s="86"/>
      <c r="F527" s="86"/>
    </row>
    <row r="528" spans="1:11" x14ac:dyDescent="0.15">
      <c r="A528" s="86"/>
      <c r="B528" s="86"/>
      <c r="D528" s="86"/>
      <c r="E528" s="86"/>
      <c r="F528" s="86"/>
    </row>
    <row r="529" spans="1:6" x14ac:dyDescent="0.15">
      <c r="A529" s="86"/>
      <c r="B529" s="86"/>
      <c r="D529" s="86"/>
      <c r="E529" s="86"/>
      <c r="F529" s="86"/>
    </row>
    <row r="530" spans="1:6" x14ac:dyDescent="0.15">
      <c r="A530" s="86"/>
      <c r="B530" s="86"/>
      <c r="D530" s="86"/>
      <c r="E530" s="86"/>
      <c r="F530" s="86"/>
    </row>
    <row r="531" spans="1:6" x14ac:dyDescent="0.15">
      <c r="A531" s="86"/>
      <c r="B531" s="86"/>
      <c r="D531" s="86"/>
      <c r="E531" s="86"/>
      <c r="F531" s="86"/>
    </row>
    <row r="532" spans="1:6" x14ac:dyDescent="0.15">
      <c r="A532" s="86"/>
      <c r="B532" s="86"/>
      <c r="D532" s="86"/>
      <c r="E532" s="86"/>
      <c r="F532" s="86"/>
    </row>
    <row r="533" spans="1:6" x14ac:dyDescent="0.15">
      <c r="A533" s="86"/>
      <c r="B533" s="86"/>
      <c r="D533" s="86"/>
      <c r="E533" s="86"/>
      <c r="F533" s="86"/>
    </row>
    <row r="534" spans="1:6" x14ac:dyDescent="0.15">
      <c r="A534" s="86"/>
      <c r="B534" s="86"/>
      <c r="D534" s="86"/>
      <c r="E534" s="86"/>
      <c r="F534" s="86"/>
    </row>
    <row r="535" spans="1:6" x14ac:dyDescent="0.15">
      <c r="A535" s="86"/>
      <c r="B535" s="86"/>
      <c r="D535" s="86"/>
      <c r="E535" s="86"/>
      <c r="F535" s="86"/>
    </row>
    <row r="536" spans="1:6" x14ac:dyDescent="0.15">
      <c r="A536" s="86"/>
      <c r="B536" s="86"/>
      <c r="D536" s="86"/>
      <c r="E536" s="86"/>
      <c r="F536" s="86"/>
    </row>
    <row r="537" spans="1:6" x14ac:dyDescent="0.15">
      <c r="A537" s="86"/>
      <c r="B537" s="86"/>
      <c r="D537" s="86"/>
      <c r="E537" s="86"/>
      <c r="F537" s="86"/>
    </row>
    <row r="538" spans="1:6" x14ac:dyDescent="0.15">
      <c r="A538" s="86"/>
      <c r="B538" s="86"/>
      <c r="D538" s="86"/>
      <c r="E538" s="86"/>
      <c r="F538" s="86"/>
    </row>
    <row r="539" spans="1:6" x14ac:dyDescent="0.15">
      <c r="A539" s="86"/>
      <c r="B539" s="86"/>
      <c r="D539" s="86"/>
      <c r="E539" s="86"/>
      <c r="F539" s="86"/>
    </row>
    <row r="540" spans="1:6" x14ac:dyDescent="0.15">
      <c r="A540" s="86"/>
      <c r="B540" s="86"/>
      <c r="D540" s="86"/>
      <c r="E540" s="86"/>
      <c r="F540" s="86"/>
    </row>
    <row r="541" spans="1:6" x14ac:dyDescent="0.15">
      <c r="A541" s="86"/>
      <c r="B541" s="86"/>
      <c r="D541" s="86"/>
      <c r="E541" s="86"/>
      <c r="F541" s="86"/>
    </row>
    <row r="542" spans="1:6" x14ac:dyDescent="0.15">
      <c r="A542" s="86"/>
      <c r="B542" s="86"/>
      <c r="D542" s="86"/>
      <c r="E542" s="86"/>
      <c r="F542" s="86"/>
    </row>
    <row r="543" spans="1:6" x14ac:dyDescent="0.15">
      <c r="A543" s="86"/>
      <c r="B543" s="86"/>
      <c r="D543" s="86"/>
      <c r="E543" s="86"/>
      <c r="F543" s="86"/>
    </row>
    <row r="544" spans="1:6" x14ac:dyDescent="0.15">
      <c r="A544" s="86"/>
      <c r="B544" s="86"/>
      <c r="D544" s="86"/>
      <c r="E544" s="86"/>
      <c r="F544" s="86"/>
    </row>
    <row r="545" spans="1:6" x14ac:dyDescent="0.15">
      <c r="A545" s="86"/>
      <c r="B545" s="86"/>
      <c r="D545" s="86"/>
      <c r="E545" s="86"/>
      <c r="F545" s="86"/>
    </row>
    <row r="546" spans="1:6" x14ac:dyDescent="0.15">
      <c r="A546" s="86"/>
      <c r="B546" s="86"/>
      <c r="D546" s="86"/>
      <c r="E546" s="86"/>
      <c r="F546" s="86"/>
    </row>
    <row r="547" spans="1:6" x14ac:dyDescent="0.15">
      <c r="A547" s="86"/>
      <c r="B547" s="86"/>
      <c r="D547" s="86"/>
      <c r="E547" s="86"/>
      <c r="F547" s="86"/>
    </row>
    <row r="548" spans="1:6" x14ac:dyDescent="0.15">
      <c r="A548" s="86"/>
      <c r="B548" s="86"/>
      <c r="D548" s="86"/>
      <c r="E548" s="86"/>
      <c r="F548" s="86"/>
    </row>
    <row r="549" spans="1:6" x14ac:dyDescent="0.15">
      <c r="A549" s="86"/>
      <c r="B549" s="86"/>
      <c r="D549" s="86"/>
      <c r="E549" s="86"/>
      <c r="F549" s="86"/>
    </row>
    <row r="550" spans="1:6" x14ac:dyDescent="0.15">
      <c r="A550" s="86"/>
      <c r="B550" s="86"/>
      <c r="D550" s="86"/>
      <c r="E550" s="86"/>
      <c r="F550" s="86"/>
    </row>
    <row r="551" spans="1:6" x14ac:dyDescent="0.15">
      <c r="A551" s="86"/>
      <c r="B551" s="86"/>
      <c r="D551" s="86"/>
      <c r="E551" s="86"/>
      <c r="F551" s="86"/>
    </row>
    <row r="552" spans="1:6" x14ac:dyDescent="0.15">
      <c r="A552" s="86"/>
      <c r="B552" s="86"/>
      <c r="D552" s="86"/>
      <c r="E552" s="86"/>
      <c r="F552" s="86"/>
    </row>
    <row r="553" spans="1:6" x14ac:dyDescent="0.15">
      <c r="A553" s="86"/>
      <c r="B553" s="86"/>
      <c r="D553" s="86"/>
      <c r="E553" s="86"/>
      <c r="F553" s="86"/>
    </row>
    <row r="554" spans="1:6" x14ac:dyDescent="0.15">
      <c r="A554" s="86"/>
      <c r="B554" s="86"/>
      <c r="D554" s="86"/>
      <c r="E554" s="86"/>
      <c r="F554" s="86"/>
    </row>
    <row r="555" spans="1:6" x14ac:dyDescent="0.15">
      <c r="A555" s="86"/>
      <c r="B555" s="86"/>
      <c r="D555" s="86"/>
      <c r="E555" s="86"/>
      <c r="F555" s="86"/>
    </row>
    <row r="556" spans="1:6" x14ac:dyDescent="0.15">
      <c r="A556" s="86"/>
      <c r="B556" s="86"/>
      <c r="D556" s="86"/>
      <c r="E556" s="86"/>
      <c r="F556" s="86"/>
    </row>
    <row r="557" spans="1:6" x14ac:dyDescent="0.15">
      <c r="A557" s="86"/>
      <c r="B557" s="86"/>
      <c r="D557" s="86"/>
      <c r="E557" s="86"/>
      <c r="F557" s="86"/>
    </row>
    <row r="558" spans="1:6" x14ac:dyDescent="0.15">
      <c r="A558" s="86"/>
      <c r="B558" s="86"/>
      <c r="D558" s="86"/>
      <c r="E558" s="86"/>
      <c r="F558" s="86"/>
    </row>
    <row r="559" spans="1:6" x14ac:dyDescent="0.15">
      <c r="A559" s="86"/>
      <c r="B559" s="86"/>
      <c r="D559" s="86"/>
      <c r="E559" s="86"/>
      <c r="F559" s="86"/>
    </row>
    <row r="560" spans="1:6" x14ac:dyDescent="0.15">
      <c r="A560" s="86"/>
      <c r="B560" s="86"/>
      <c r="D560" s="86"/>
      <c r="E560" s="86"/>
      <c r="F560" s="86"/>
    </row>
    <row r="561" spans="1:6" x14ac:dyDescent="0.15">
      <c r="A561" s="86"/>
      <c r="B561" s="86"/>
      <c r="D561" s="86"/>
      <c r="E561" s="86"/>
      <c r="F561" s="86"/>
    </row>
    <row r="562" spans="1:6" x14ac:dyDescent="0.15">
      <c r="A562" s="86"/>
      <c r="B562" s="86"/>
      <c r="D562" s="86"/>
      <c r="E562" s="86"/>
      <c r="F562" s="86"/>
    </row>
    <row r="563" spans="1:6" x14ac:dyDescent="0.15">
      <c r="A563" s="86"/>
      <c r="B563" s="86"/>
      <c r="D563" s="86"/>
      <c r="E563" s="86"/>
      <c r="F563" s="86"/>
    </row>
    <row r="564" spans="1:6" x14ac:dyDescent="0.15">
      <c r="A564" s="86"/>
      <c r="B564" s="86"/>
      <c r="D564" s="86"/>
      <c r="E564" s="86"/>
      <c r="F564" s="86"/>
    </row>
    <row r="565" spans="1:6" x14ac:dyDescent="0.15">
      <c r="A565" s="86"/>
      <c r="B565" s="86"/>
      <c r="D565" s="86"/>
      <c r="E565" s="86"/>
      <c r="F565" s="86"/>
    </row>
    <row r="566" spans="1:6" x14ac:dyDescent="0.15">
      <c r="A566" s="86"/>
      <c r="B566" s="86"/>
      <c r="D566" s="86"/>
      <c r="E566" s="86"/>
      <c r="F566" s="86"/>
    </row>
    <row r="567" spans="1:6" x14ac:dyDescent="0.15">
      <c r="A567" s="86"/>
      <c r="B567" s="86"/>
      <c r="D567" s="86"/>
      <c r="E567" s="86"/>
      <c r="F567" s="86"/>
    </row>
    <row r="568" spans="1:6" x14ac:dyDescent="0.15">
      <c r="A568" s="86"/>
      <c r="B568" s="86"/>
      <c r="D568" s="86"/>
      <c r="E568" s="86"/>
      <c r="F568" s="86"/>
    </row>
    <row r="569" spans="1:6" x14ac:dyDescent="0.15">
      <c r="A569" s="86"/>
      <c r="B569" s="86"/>
      <c r="D569" s="86"/>
      <c r="E569" s="86"/>
      <c r="F569" s="86"/>
    </row>
    <row r="570" spans="1:6" x14ac:dyDescent="0.15">
      <c r="A570" s="86"/>
      <c r="B570" s="86"/>
      <c r="D570" s="86"/>
      <c r="E570" s="86"/>
      <c r="F570" s="86"/>
    </row>
    <row r="571" spans="1:6" x14ac:dyDescent="0.15">
      <c r="A571" s="86"/>
      <c r="B571" s="86"/>
      <c r="D571" s="86"/>
      <c r="E571" s="86"/>
      <c r="F571" s="86"/>
    </row>
    <row r="572" spans="1:6" x14ac:dyDescent="0.15">
      <c r="A572" s="86"/>
      <c r="B572" s="86"/>
      <c r="D572" s="86"/>
      <c r="E572" s="86"/>
      <c r="F572" s="86"/>
    </row>
    <row r="573" spans="1:6" x14ac:dyDescent="0.15">
      <c r="A573" s="86"/>
      <c r="B573" s="86"/>
      <c r="D573" s="86"/>
      <c r="E573" s="86"/>
      <c r="F573" s="86"/>
    </row>
    <row r="574" spans="1:6" x14ac:dyDescent="0.15">
      <c r="A574" s="86"/>
      <c r="B574" s="86"/>
      <c r="D574" s="86"/>
      <c r="E574" s="86"/>
      <c r="F574" s="86"/>
    </row>
    <row r="575" spans="1:6" x14ac:dyDescent="0.15">
      <c r="A575" s="86"/>
      <c r="B575" s="86"/>
      <c r="D575" s="86"/>
      <c r="E575" s="86"/>
      <c r="F575" s="86"/>
    </row>
    <row r="576" spans="1:6" x14ac:dyDescent="0.15">
      <c r="A576" s="86"/>
      <c r="B576" s="86"/>
      <c r="D576" s="86"/>
      <c r="E576" s="86"/>
      <c r="F576" s="86"/>
    </row>
    <row r="577" spans="1:6" x14ac:dyDescent="0.15">
      <c r="A577" s="86"/>
      <c r="B577" s="86"/>
      <c r="D577" s="86"/>
      <c r="E577" s="86"/>
      <c r="F577" s="86"/>
    </row>
    <row r="578" spans="1:6" x14ac:dyDescent="0.15">
      <c r="A578" s="86"/>
      <c r="B578" s="86"/>
      <c r="D578" s="86"/>
      <c r="E578" s="86"/>
      <c r="F578" s="86"/>
    </row>
    <row r="579" spans="1:6" x14ac:dyDescent="0.15">
      <c r="A579" s="86"/>
      <c r="B579" s="86"/>
      <c r="D579" s="86"/>
      <c r="E579" s="86"/>
      <c r="F579" s="86"/>
    </row>
    <row r="580" spans="1:6" x14ac:dyDescent="0.15">
      <c r="A580" s="86"/>
      <c r="B580" s="86"/>
      <c r="D580" s="86"/>
      <c r="E580" s="86"/>
      <c r="F580" s="86"/>
    </row>
    <row r="581" spans="1:6" x14ac:dyDescent="0.15">
      <c r="A581" s="86"/>
      <c r="B581" s="86"/>
      <c r="D581" s="86"/>
      <c r="E581" s="86"/>
      <c r="F581" s="86"/>
    </row>
    <row r="582" spans="1:6" x14ac:dyDescent="0.15">
      <c r="A582" s="86"/>
      <c r="B582" s="86"/>
      <c r="D582" s="86"/>
      <c r="E582" s="86"/>
      <c r="F582" s="86"/>
    </row>
    <row r="583" spans="1:6" x14ac:dyDescent="0.15">
      <c r="A583" s="86"/>
      <c r="B583" s="86"/>
      <c r="D583" s="86"/>
      <c r="E583" s="86"/>
      <c r="F583" s="86"/>
    </row>
    <row r="584" spans="1:6" x14ac:dyDescent="0.15">
      <c r="A584" s="86"/>
      <c r="B584" s="86"/>
      <c r="D584" s="86"/>
      <c r="E584" s="86"/>
      <c r="F584" s="86"/>
    </row>
    <row r="585" spans="1:6" x14ac:dyDescent="0.15">
      <c r="A585" s="86"/>
      <c r="B585" s="86"/>
      <c r="D585" s="86"/>
      <c r="E585" s="86"/>
      <c r="F585" s="86"/>
    </row>
    <row r="586" spans="1:6" x14ac:dyDescent="0.15">
      <c r="A586" s="86"/>
      <c r="B586" s="86"/>
      <c r="D586" s="86"/>
      <c r="E586" s="86"/>
      <c r="F586" s="86"/>
    </row>
    <row r="587" spans="1:6" x14ac:dyDescent="0.15">
      <c r="A587" s="86"/>
      <c r="B587" s="86"/>
      <c r="D587" s="86"/>
      <c r="E587" s="86"/>
      <c r="F587" s="86"/>
    </row>
    <row r="588" spans="1:6" x14ac:dyDescent="0.15">
      <c r="A588" s="86"/>
      <c r="B588" s="86"/>
      <c r="D588" s="86"/>
      <c r="E588" s="86"/>
      <c r="F588" s="86"/>
    </row>
    <row r="589" spans="1:6" x14ac:dyDescent="0.15">
      <c r="A589" s="86"/>
      <c r="B589" s="86"/>
      <c r="D589" s="86"/>
      <c r="E589" s="86"/>
      <c r="F589" s="86"/>
    </row>
    <row r="590" spans="1:6" x14ac:dyDescent="0.15">
      <c r="A590" s="86"/>
      <c r="B590" s="86"/>
      <c r="D590" s="86"/>
      <c r="E590" s="86"/>
      <c r="F590" s="86"/>
    </row>
    <row r="591" spans="1:6" x14ac:dyDescent="0.15">
      <c r="A591" s="86"/>
      <c r="B591" s="86"/>
      <c r="D591" s="86"/>
      <c r="E591" s="86"/>
      <c r="F591" s="86"/>
    </row>
    <row r="592" spans="1:6" x14ac:dyDescent="0.15">
      <c r="A592" s="86"/>
      <c r="B592" s="86"/>
      <c r="D592" s="86"/>
      <c r="E592" s="86"/>
      <c r="F592" s="86"/>
    </row>
    <row r="593" spans="1:6" x14ac:dyDescent="0.15">
      <c r="A593" s="86"/>
      <c r="B593" s="86"/>
      <c r="D593" s="86"/>
      <c r="E593" s="86"/>
      <c r="F593" s="86"/>
    </row>
    <row r="594" spans="1:6" x14ac:dyDescent="0.15">
      <c r="A594" s="86"/>
      <c r="B594" s="86"/>
      <c r="D594" s="86"/>
      <c r="E594" s="86"/>
      <c r="F594" s="86"/>
    </row>
    <row r="595" spans="1:6" x14ac:dyDescent="0.15">
      <c r="A595" s="86"/>
      <c r="B595" s="86"/>
      <c r="D595" s="86"/>
      <c r="E595" s="86"/>
      <c r="F595" s="86"/>
    </row>
    <row r="596" spans="1:6" x14ac:dyDescent="0.15">
      <c r="A596" s="86"/>
      <c r="B596" s="86"/>
      <c r="D596" s="86"/>
      <c r="E596" s="86"/>
      <c r="F596" s="86"/>
    </row>
    <row r="597" spans="1:6" x14ac:dyDescent="0.15">
      <c r="A597" s="86"/>
      <c r="B597" s="86"/>
      <c r="D597" s="86"/>
      <c r="E597" s="86"/>
      <c r="F597" s="86"/>
    </row>
    <row r="598" spans="1:6" x14ac:dyDescent="0.15">
      <c r="A598" s="86"/>
      <c r="B598" s="86"/>
      <c r="D598" s="86"/>
      <c r="E598" s="86"/>
      <c r="F598" s="86"/>
    </row>
    <row r="599" spans="1:6" x14ac:dyDescent="0.15">
      <c r="A599" s="86"/>
      <c r="B599" s="86"/>
      <c r="D599" s="86"/>
      <c r="E599" s="86"/>
      <c r="F599" s="86"/>
    </row>
    <row r="600" spans="1:6" x14ac:dyDescent="0.15">
      <c r="A600" s="86"/>
      <c r="B600" s="86"/>
      <c r="D600" s="86"/>
      <c r="E600" s="86"/>
      <c r="F600" s="86"/>
    </row>
    <row r="601" spans="1:6" x14ac:dyDescent="0.15">
      <c r="A601" s="86"/>
      <c r="B601" s="86"/>
      <c r="D601" s="86"/>
      <c r="E601" s="86"/>
      <c r="F601" s="86"/>
    </row>
    <row r="602" spans="1:6" x14ac:dyDescent="0.15">
      <c r="A602" s="86"/>
      <c r="B602" s="86"/>
      <c r="D602" s="86"/>
      <c r="E602" s="86"/>
      <c r="F602" s="86"/>
    </row>
    <row r="603" spans="1:6" x14ac:dyDescent="0.15">
      <c r="A603" s="86"/>
      <c r="B603" s="86"/>
      <c r="D603" s="86"/>
      <c r="E603" s="86"/>
      <c r="F603" s="86"/>
    </row>
    <row r="604" spans="1:6" x14ac:dyDescent="0.15">
      <c r="A604" s="86"/>
      <c r="B604" s="86"/>
      <c r="D604" s="86"/>
      <c r="E604" s="86"/>
      <c r="F604" s="86"/>
    </row>
    <row r="605" spans="1:6" x14ac:dyDescent="0.15">
      <c r="A605" s="86"/>
      <c r="B605" s="86"/>
      <c r="D605" s="86"/>
      <c r="E605" s="86"/>
      <c r="F605" s="86"/>
    </row>
    <row r="606" spans="1:6" x14ac:dyDescent="0.15">
      <c r="A606" s="86"/>
      <c r="B606" s="86"/>
      <c r="D606" s="86"/>
      <c r="E606" s="86"/>
      <c r="F606" s="86"/>
    </row>
    <row r="607" spans="1:6" x14ac:dyDescent="0.15">
      <c r="A607" s="86"/>
      <c r="B607" s="86"/>
      <c r="D607" s="86"/>
      <c r="E607" s="86"/>
      <c r="F607" s="86"/>
    </row>
    <row r="608" spans="1:6" x14ac:dyDescent="0.15">
      <c r="A608" s="86"/>
      <c r="B608" s="86"/>
      <c r="D608" s="86"/>
      <c r="E608" s="86"/>
      <c r="F608" s="86"/>
    </row>
    <row r="609" spans="1:6" x14ac:dyDescent="0.15">
      <c r="A609" s="86"/>
      <c r="B609" s="86"/>
      <c r="D609" s="86"/>
      <c r="E609" s="86"/>
      <c r="F609" s="86"/>
    </row>
    <row r="610" spans="1:6" x14ac:dyDescent="0.15">
      <c r="A610" s="86"/>
      <c r="B610" s="86"/>
      <c r="D610" s="86"/>
      <c r="E610" s="86"/>
      <c r="F610" s="86"/>
    </row>
    <row r="611" spans="1:6" x14ac:dyDescent="0.15">
      <c r="A611" s="86"/>
      <c r="B611" s="86"/>
      <c r="D611" s="86"/>
      <c r="E611" s="86"/>
      <c r="F611" s="86"/>
    </row>
    <row r="612" spans="1:6" x14ac:dyDescent="0.15">
      <c r="A612" s="86"/>
      <c r="B612" s="86"/>
      <c r="D612" s="86"/>
      <c r="E612" s="86"/>
      <c r="F612" s="86"/>
    </row>
    <row r="613" spans="1:6" x14ac:dyDescent="0.15">
      <c r="A613" s="86"/>
      <c r="B613" s="86"/>
      <c r="D613" s="86"/>
      <c r="E613" s="86"/>
      <c r="F613" s="86"/>
    </row>
    <row r="614" spans="1:6" x14ac:dyDescent="0.15">
      <c r="A614" s="86"/>
      <c r="B614" s="86"/>
      <c r="D614" s="86"/>
      <c r="E614" s="86"/>
      <c r="F614" s="86"/>
    </row>
    <row r="615" spans="1:6" x14ac:dyDescent="0.15">
      <c r="A615" s="86"/>
      <c r="B615" s="86"/>
      <c r="D615" s="86"/>
      <c r="E615" s="86"/>
      <c r="F615" s="86"/>
    </row>
    <row r="616" spans="1:6" x14ac:dyDescent="0.15">
      <c r="A616" s="86"/>
      <c r="B616" s="86"/>
      <c r="D616" s="86"/>
      <c r="E616" s="86"/>
      <c r="F616" s="86"/>
    </row>
    <row r="617" spans="1:6" x14ac:dyDescent="0.15">
      <c r="A617" s="86"/>
      <c r="B617" s="86"/>
      <c r="D617" s="86"/>
      <c r="E617" s="86"/>
      <c r="F617" s="86"/>
    </row>
    <row r="618" spans="1:6" x14ac:dyDescent="0.15">
      <c r="A618" s="86"/>
      <c r="B618" s="86"/>
      <c r="D618" s="86"/>
      <c r="E618" s="86"/>
      <c r="F618" s="86"/>
    </row>
    <row r="619" spans="1:6" x14ac:dyDescent="0.15">
      <c r="A619" s="86"/>
      <c r="B619" s="86"/>
      <c r="D619" s="86"/>
      <c r="E619" s="86"/>
      <c r="F619" s="86"/>
    </row>
    <row r="620" spans="1:6" x14ac:dyDescent="0.15">
      <c r="A620" s="86"/>
      <c r="B620" s="86"/>
      <c r="D620" s="86"/>
      <c r="E620" s="86"/>
      <c r="F620" s="86"/>
    </row>
    <row r="621" spans="1:6" x14ac:dyDescent="0.15">
      <c r="A621" s="86"/>
      <c r="B621" s="86"/>
      <c r="D621" s="86"/>
      <c r="E621" s="86"/>
      <c r="F621" s="86"/>
    </row>
    <row r="622" spans="1:6" x14ac:dyDescent="0.15">
      <c r="A622" s="86"/>
      <c r="B622" s="86"/>
      <c r="D622" s="86"/>
      <c r="E622" s="86"/>
      <c r="F622" s="86"/>
    </row>
    <row r="623" spans="1:6" x14ac:dyDescent="0.15">
      <c r="A623" s="86"/>
      <c r="B623" s="86"/>
      <c r="D623" s="86"/>
      <c r="E623" s="86"/>
      <c r="F623" s="86"/>
    </row>
    <row r="624" spans="1:6" x14ac:dyDescent="0.15">
      <c r="A624" s="86"/>
      <c r="B624" s="86"/>
      <c r="D624" s="86"/>
      <c r="E624" s="86"/>
      <c r="F624" s="86"/>
    </row>
    <row r="625" spans="1:6" x14ac:dyDescent="0.15">
      <c r="A625" s="86"/>
      <c r="B625" s="86"/>
      <c r="D625" s="86"/>
      <c r="E625" s="86"/>
      <c r="F625" s="86"/>
    </row>
  </sheetData>
  <sortState caseSensitive="1" ref="A2:K625">
    <sortCondition descending="1" ref="K1"/>
  </sortState>
  <phoneticPr fontId="4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4"/>
  <sheetViews>
    <sheetView workbookViewId="0">
      <selection activeCell="E29" sqref="E29"/>
    </sheetView>
  </sheetViews>
  <sheetFormatPr defaultRowHeight="14.25" x14ac:dyDescent="0.15"/>
  <cols>
    <col min="6" max="6" width="10.5" bestFit="1" customWidth="1"/>
  </cols>
  <sheetData>
    <row r="1" spans="1:7" x14ac:dyDescent="0.15">
      <c r="A1" s="86" t="s">
        <v>307</v>
      </c>
    </row>
    <row r="2" spans="1:7" x14ac:dyDescent="0.15">
      <c r="A2" s="86" t="s">
        <v>116</v>
      </c>
      <c r="B2" s="86" t="s">
        <v>163</v>
      </c>
      <c r="C2" s="86" t="s">
        <v>164</v>
      </c>
      <c r="D2" s="86" t="s">
        <v>167</v>
      </c>
      <c r="E2" s="185">
        <v>41155</v>
      </c>
      <c r="F2" s="185">
        <v>41148</v>
      </c>
      <c r="G2" s="86" t="s">
        <v>304</v>
      </c>
    </row>
    <row r="3" spans="1:7" x14ac:dyDescent="0.15">
      <c r="A3" s="86" t="s">
        <v>187</v>
      </c>
      <c r="B3" s="86" t="s">
        <v>267</v>
      </c>
      <c r="C3">
        <v>136</v>
      </c>
    </row>
    <row r="4" spans="1:7" x14ac:dyDescent="0.15">
      <c r="A4" s="86" t="s">
        <v>188</v>
      </c>
      <c r="B4" s="86" t="s">
        <v>268</v>
      </c>
      <c r="C4">
        <v>8</v>
      </c>
    </row>
    <row r="5" spans="1:7" x14ac:dyDescent="0.15">
      <c r="A5" s="86" t="s">
        <v>189</v>
      </c>
      <c r="B5" s="86" t="s">
        <v>269</v>
      </c>
      <c r="C5">
        <v>82</v>
      </c>
    </row>
    <row r="6" spans="1:7" x14ac:dyDescent="0.15">
      <c r="A6" s="86" t="s">
        <v>190</v>
      </c>
      <c r="B6" s="86" t="s">
        <v>270</v>
      </c>
      <c r="C6">
        <v>15</v>
      </c>
    </row>
    <row r="7" spans="1:7" x14ac:dyDescent="0.15">
      <c r="A7" s="86" t="s">
        <v>191</v>
      </c>
      <c r="B7" s="86" t="s">
        <v>271</v>
      </c>
      <c r="C7">
        <v>15</v>
      </c>
    </row>
    <row r="8" spans="1:7" x14ac:dyDescent="0.15">
      <c r="A8" s="86" t="s">
        <v>192</v>
      </c>
      <c r="B8" s="86" t="s">
        <v>272</v>
      </c>
      <c r="C8">
        <v>12</v>
      </c>
    </row>
    <row r="9" spans="1:7" x14ac:dyDescent="0.15">
      <c r="A9" s="86" t="s">
        <v>193</v>
      </c>
      <c r="B9" s="86" t="s">
        <v>273</v>
      </c>
      <c r="C9">
        <v>70.599999999999994</v>
      </c>
    </row>
    <row r="10" spans="1:7" x14ac:dyDescent="0.15">
      <c r="A10" s="86" t="s">
        <v>291</v>
      </c>
      <c r="B10" s="86" t="s">
        <v>292</v>
      </c>
      <c r="C10">
        <v>150</v>
      </c>
    </row>
    <row r="11" spans="1:7" x14ac:dyDescent="0.15">
      <c r="A11" s="86" t="s">
        <v>298</v>
      </c>
      <c r="B11" s="86" t="s">
        <v>299</v>
      </c>
      <c r="C11">
        <v>200</v>
      </c>
      <c r="F11">
        <v>5456</v>
      </c>
      <c r="G11">
        <v>0</v>
      </c>
    </row>
    <row r="12" spans="1:7" x14ac:dyDescent="0.15">
      <c r="A12" s="86" t="s">
        <v>205</v>
      </c>
      <c r="B12" s="86" t="s">
        <v>274</v>
      </c>
      <c r="C12">
        <v>67.13</v>
      </c>
      <c r="F12">
        <v>5280</v>
      </c>
      <c r="G12">
        <v>0</v>
      </c>
    </row>
    <row r="13" spans="1:7" x14ac:dyDescent="0.15">
      <c r="A13" s="86" t="s">
        <v>234</v>
      </c>
      <c r="B13" s="86" t="s">
        <v>276</v>
      </c>
      <c r="C13">
        <v>10</v>
      </c>
      <c r="F13">
        <v>791</v>
      </c>
      <c r="G13">
        <v>1402</v>
      </c>
    </row>
    <row r="14" spans="1:7" x14ac:dyDescent="0.15">
      <c r="A14" s="86" t="s">
        <v>294</v>
      </c>
      <c r="B14" s="86" t="s">
        <v>295</v>
      </c>
      <c r="C14">
        <v>35</v>
      </c>
      <c r="F14">
        <v>4849.24</v>
      </c>
      <c r="G14">
        <v>0</v>
      </c>
    </row>
  </sheetData>
  <phoneticPr fontId="4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4"/>
  <sheetViews>
    <sheetView workbookViewId="0"/>
  </sheetViews>
  <sheetFormatPr defaultRowHeight="14.25" x14ac:dyDescent="0.15"/>
  <cols>
    <col min="6" max="6" width="10.5" bestFit="1" customWidth="1"/>
  </cols>
  <sheetData>
    <row r="1" spans="1:7" x14ac:dyDescent="0.15">
      <c r="A1" s="86" t="s">
        <v>307</v>
      </c>
    </row>
    <row r="2" spans="1:7" x14ac:dyDescent="0.15">
      <c r="A2" s="86" t="s">
        <v>116</v>
      </c>
      <c r="B2" s="86" t="s">
        <v>163</v>
      </c>
      <c r="C2" s="86" t="s">
        <v>164</v>
      </c>
      <c r="D2" s="86" t="s">
        <v>167</v>
      </c>
      <c r="E2" s="185">
        <v>41156</v>
      </c>
      <c r="F2" s="185">
        <v>41149</v>
      </c>
      <c r="G2" s="86" t="s">
        <v>304</v>
      </c>
    </row>
    <row r="3" spans="1:7" x14ac:dyDescent="0.15">
      <c r="A3" s="86" t="s">
        <v>187</v>
      </c>
      <c r="B3" s="86" t="s">
        <v>267</v>
      </c>
      <c r="C3">
        <v>136</v>
      </c>
    </row>
    <row r="4" spans="1:7" x14ac:dyDescent="0.15">
      <c r="A4" s="86" t="s">
        <v>188</v>
      </c>
      <c r="B4" s="86" t="s">
        <v>268</v>
      </c>
      <c r="C4">
        <v>8</v>
      </c>
    </row>
    <row r="5" spans="1:7" x14ac:dyDescent="0.15">
      <c r="A5" s="86" t="s">
        <v>189</v>
      </c>
      <c r="B5" s="86" t="s">
        <v>269</v>
      </c>
      <c r="C5">
        <v>82</v>
      </c>
    </row>
    <row r="6" spans="1:7" x14ac:dyDescent="0.15">
      <c r="A6" s="86" t="s">
        <v>190</v>
      </c>
      <c r="B6" s="86" t="s">
        <v>270</v>
      </c>
      <c r="C6">
        <v>15</v>
      </c>
    </row>
    <row r="7" spans="1:7" x14ac:dyDescent="0.15">
      <c r="A7" s="86" t="s">
        <v>191</v>
      </c>
      <c r="B7" s="86" t="s">
        <v>271</v>
      </c>
      <c r="C7">
        <v>15</v>
      </c>
    </row>
    <row r="8" spans="1:7" x14ac:dyDescent="0.15">
      <c r="A8" s="86" t="s">
        <v>192</v>
      </c>
      <c r="B8" s="86" t="s">
        <v>272</v>
      </c>
      <c r="C8">
        <v>12</v>
      </c>
    </row>
    <row r="9" spans="1:7" x14ac:dyDescent="0.15">
      <c r="A9" s="86" t="s">
        <v>193</v>
      </c>
      <c r="B9" s="86" t="s">
        <v>273</v>
      </c>
      <c r="C9">
        <v>70.599999999999994</v>
      </c>
    </row>
    <row r="10" spans="1:7" x14ac:dyDescent="0.15">
      <c r="A10" s="86" t="s">
        <v>291</v>
      </c>
      <c r="B10" s="86" t="s">
        <v>292</v>
      </c>
      <c r="C10">
        <v>150</v>
      </c>
    </row>
    <row r="11" spans="1:7" x14ac:dyDescent="0.15">
      <c r="A11" s="86" t="s">
        <v>298</v>
      </c>
      <c r="B11" s="86" t="s">
        <v>299</v>
      </c>
      <c r="C11">
        <v>200</v>
      </c>
      <c r="F11">
        <v>6447</v>
      </c>
      <c r="G11">
        <v>0</v>
      </c>
    </row>
    <row r="12" spans="1:7" x14ac:dyDescent="0.15">
      <c r="A12" s="86" t="s">
        <v>205</v>
      </c>
      <c r="B12" s="86" t="s">
        <v>274</v>
      </c>
      <c r="C12">
        <v>67.13</v>
      </c>
      <c r="F12">
        <v>2348</v>
      </c>
      <c r="G12">
        <v>0</v>
      </c>
    </row>
    <row r="13" spans="1:7" x14ac:dyDescent="0.15">
      <c r="A13" s="86" t="s">
        <v>234</v>
      </c>
      <c r="B13" s="86" t="s">
        <v>276</v>
      </c>
      <c r="C13">
        <v>10</v>
      </c>
      <c r="F13">
        <v>1155</v>
      </c>
      <c r="G13">
        <v>1402</v>
      </c>
    </row>
    <row r="14" spans="1:7" x14ac:dyDescent="0.15">
      <c r="A14" s="86" t="s">
        <v>294</v>
      </c>
      <c r="B14" s="86" t="s">
        <v>295</v>
      </c>
      <c r="C14">
        <v>35</v>
      </c>
      <c r="F14">
        <v>4381.9799999999996</v>
      </c>
      <c r="G14">
        <v>0</v>
      </c>
    </row>
  </sheetData>
  <phoneticPr fontId="4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P1</vt:lpstr>
      <vt:lpstr>P2</vt:lpstr>
      <vt:lpstr>P3</vt:lpstr>
      <vt:lpstr>其他</vt:lpstr>
      <vt:lpstr>销售数据</vt:lpstr>
      <vt:lpstr>Sheet2</vt:lpstr>
      <vt:lpstr>Sheet3</vt:lpstr>
      <vt:lpstr>'P1'!Print_Area</vt:lpstr>
      <vt:lpstr>'P3'!Print_Titles</vt:lpstr>
    </vt:vector>
  </TitlesOfParts>
  <Company>www.xunchi.com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lilianke</dc:creator>
  <cp:lastModifiedBy>IT</cp:lastModifiedBy>
  <cp:lastPrinted>2016-03-05T05:58:29Z</cp:lastPrinted>
  <dcterms:created xsi:type="dcterms:W3CDTF">2010-05-29T04:13:56Z</dcterms:created>
  <dcterms:modified xsi:type="dcterms:W3CDTF">2016-03-08T06:51:15Z</dcterms:modified>
</cp:coreProperties>
</file>